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lti Tech Services\Desktop\"/>
    </mc:Choice>
  </mc:AlternateContent>
  <xr:revisionPtr revIDLastSave="0" documentId="13_ncr:1_{0E140ADD-715F-45D1-82E2-E07B296D04DA}" xr6:coauthVersionLast="47" xr6:coauthVersionMax="47" xr10:uidLastSave="{00000000-0000-0000-0000-000000000000}"/>
  <bookViews>
    <workbookView xWindow="-120" yWindow="-120" windowWidth="20730" windowHeight="11160" xr2:uid="{E4A9219B-42EA-4526-87EF-CF5618DCBB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5" i="1" l="1"/>
  <c r="H116" i="1"/>
  <c r="H117" i="1"/>
  <c r="H114" i="1"/>
  <c r="H113" i="1"/>
  <c r="H112" i="1"/>
  <c r="H111" i="1"/>
  <c r="H110" i="1"/>
  <c r="H109" i="1"/>
  <c r="H108" i="1"/>
  <c r="H107" i="1"/>
  <c r="I14" i="1"/>
  <c r="H32" i="1"/>
  <c r="L15" i="1"/>
  <c r="L14" i="1"/>
  <c r="K14" i="1"/>
  <c r="H12" i="1"/>
  <c r="K32" i="1"/>
  <c r="K31" i="1"/>
  <c r="K30" i="1"/>
  <c r="O117" i="1"/>
  <c r="P37" i="1"/>
  <c r="Q36" i="1"/>
  <c r="P36" i="1"/>
  <c r="M37" i="1"/>
  <c r="N36" i="1"/>
  <c r="M36" i="1"/>
  <c r="K35" i="1"/>
  <c r="G40" i="1"/>
  <c r="I36" i="1"/>
  <c r="J35" i="1"/>
  <c r="I35" i="1"/>
  <c r="H88" i="1"/>
  <c r="H167" i="1"/>
  <c r="H70" i="1"/>
  <c r="H69" i="1"/>
  <c r="H170" i="1"/>
  <c r="H171" i="1"/>
  <c r="H168" i="1"/>
  <c r="H182" i="1"/>
  <c r="H181" i="1"/>
  <c r="H180" i="1"/>
  <c r="H179" i="1"/>
  <c r="H178" i="1"/>
  <c r="H177" i="1"/>
  <c r="H175" i="1"/>
  <c r="H174" i="1"/>
  <c r="H173" i="1"/>
  <c r="H172" i="1"/>
  <c r="G108" i="1"/>
  <c r="G136" i="1"/>
  <c r="G158" i="1"/>
  <c r="G163" i="1" s="1"/>
  <c r="G176" i="1"/>
  <c r="H176" i="1" s="1"/>
  <c r="G205" i="1"/>
  <c r="G208" i="1" s="1"/>
  <c r="F192" i="1"/>
  <c r="B190" i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G185" i="1"/>
  <c r="F169" i="1"/>
  <c r="H169" i="1" s="1"/>
  <c r="B168" i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F147" i="1"/>
  <c r="B146" i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G141" i="1"/>
  <c r="F126" i="1"/>
  <c r="B125" i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G120" i="1"/>
  <c r="F106" i="1"/>
  <c r="B105" i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G100" i="1"/>
  <c r="F86" i="1"/>
  <c r="B85" i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G80" i="1"/>
  <c r="F66" i="1"/>
  <c r="B65" i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G60" i="1"/>
  <c r="F46" i="1"/>
  <c r="B45" i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F26" i="1"/>
  <c r="B25" i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G20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</calcChain>
</file>

<file path=xl/sharedStrings.xml><?xml version="1.0" encoding="utf-8"?>
<sst xmlns="http://schemas.openxmlformats.org/spreadsheetml/2006/main" count="275" uniqueCount="71">
  <si>
    <t>Sample - 5.265-KW</t>
  </si>
  <si>
    <t>S.#</t>
  </si>
  <si>
    <t>Details</t>
  </si>
  <si>
    <t>Brands</t>
  </si>
  <si>
    <t>Capacity</t>
  </si>
  <si>
    <t>Quantity</t>
  </si>
  <si>
    <t>Client Rate</t>
  </si>
  <si>
    <t xml:space="preserve">Solar Panels N-Type Bifacial </t>
  </si>
  <si>
    <t>Inverters On Grid</t>
  </si>
  <si>
    <t>Saj or Livoltek</t>
  </si>
  <si>
    <t>5ktl</t>
  </si>
  <si>
    <t>Structure L-2 &amp; L-1</t>
  </si>
  <si>
    <t>GI</t>
  </si>
  <si>
    <t>Breakes &amp; DB Boxes</t>
  </si>
  <si>
    <t xml:space="preserve">PVC Material </t>
  </si>
  <si>
    <t xml:space="preserve">AC Cable </t>
  </si>
  <si>
    <t>DC Cable</t>
  </si>
  <si>
    <t>Earthing Cable</t>
  </si>
  <si>
    <t>Civil Work</t>
  </si>
  <si>
    <t>Lightning Arresters</t>
  </si>
  <si>
    <t>Earthing &amp; Borings</t>
  </si>
  <si>
    <t>Electrical &amp; Mechanical Labor</t>
  </si>
  <si>
    <t>Travelling, Transportation &amp; Misc</t>
  </si>
  <si>
    <t>Engineering, Designing, Suprvesion, Testing &amp; Commissioning</t>
  </si>
  <si>
    <t>After sales services</t>
  </si>
  <si>
    <t>Sample - 9.945-KW</t>
  </si>
  <si>
    <t>Solis, GoddWe or Fox</t>
  </si>
  <si>
    <t>10ktl</t>
  </si>
  <si>
    <t>Sample - 15.210-KW</t>
  </si>
  <si>
    <t>15ktl</t>
  </si>
  <si>
    <t>Sample - 19.890-KW</t>
  </si>
  <si>
    <t>20ktl</t>
  </si>
  <si>
    <t>Sample - 24.570-KW</t>
  </si>
  <si>
    <t>25ktl</t>
  </si>
  <si>
    <t>After sale service</t>
  </si>
  <si>
    <t>Sample - 50.310-KW</t>
  </si>
  <si>
    <t>Huawei</t>
  </si>
  <si>
    <t>Sample - 100.035-KW</t>
  </si>
  <si>
    <t>Structure L-2</t>
  </si>
  <si>
    <t>DC Combiner</t>
  </si>
  <si>
    <t>CNC</t>
  </si>
  <si>
    <t>Sample - 249.795-KW</t>
  </si>
  <si>
    <t>Inverters Ongrid</t>
  </si>
  <si>
    <t>Strcuture Standard L-2</t>
  </si>
  <si>
    <t>AC panel</t>
  </si>
  <si>
    <t>DC Combiner Box</t>
  </si>
  <si>
    <t>Cable tray with accessories</t>
  </si>
  <si>
    <t>Civil Material and labor</t>
  </si>
  <si>
    <t>Net Metering (not included)</t>
  </si>
  <si>
    <t>One Year Free of Cost After Sale Services</t>
  </si>
  <si>
    <t>Sample - 499.590-KW</t>
  </si>
  <si>
    <t>Strcuture Standerd</t>
  </si>
  <si>
    <t>Sapmple - 999.765-KW</t>
  </si>
  <si>
    <t xml:space="preserve">Client Rate </t>
  </si>
  <si>
    <t>Solar Panels N-Type Bifacial Double Glass</t>
  </si>
  <si>
    <t xml:space="preserve">Huawei </t>
  </si>
  <si>
    <t>115ktl</t>
  </si>
  <si>
    <t>50ktl</t>
  </si>
  <si>
    <t>Structure L-2 on roof</t>
  </si>
  <si>
    <t xml:space="preserve">AC panel </t>
  </si>
  <si>
    <t xml:space="preserve">DC Combiner Box </t>
  </si>
  <si>
    <t>PVC Material</t>
  </si>
  <si>
    <t xml:space="preserve">Cable tray with accessories </t>
  </si>
  <si>
    <t>AC Cable</t>
  </si>
  <si>
    <t xml:space="preserve">DC Cable </t>
  </si>
  <si>
    <t xml:space="preserve">Earthing Cable </t>
  </si>
  <si>
    <t xml:space="preserve">Civil Work Concrete Blocks </t>
  </si>
  <si>
    <t xml:space="preserve">Earthing &amp; Borings </t>
  </si>
  <si>
    <t>Complete mechanical Installation, electrification and wiring.</t>
  </si>
  <si>
    <t>Net Metering (Not included)</t>
  </si>
  <si>
    <t xml:space="preserve"> Jinko, JA, Longi Himo-7 or TCL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</si>
</sst>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4E9A"/>
      <name val="Calibri"/>
      <family val="2"/>
      <scheme val="minor"/>
    </font>
    <font>
      <b/>
      <sz val="12"/>
      <color rgb="FF007BB8"/>
      <name val="Calibri"/>
      <family val="2"/>
      <scheme val="minor"/>
    </font>
    <font>
      <b/>
      <sz val="12"/>
      <color rgb="FF3886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4" fillId="0" borderId="0" xfId="0" applyFont="1"/>
    <xf numFmtId="0" fontId="2" fillId="3" borderId="1" xfId="0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164" fontId="4" fillId="4" borderId="1" xfId="1" applyNumberFormat="1" applyFont="1" applyFill="1" applyBorder="1"/>
    <xf numFmtId="164" fontId="4" fillId="0" borderId="1" xfId="1" applyNumberFormat="1" applyFont="1" applyBorder="1"/>
    <xf numFmtId="164" fontId="4" fillId="0" borderId="0" xfId="0" applyNumberFormat="1" applyFont="1"/>
    <xf numFmtId="0" fontId="4" fillId="3" borderId="1" xfId="0" applyFont="1" applyFill="1" applyBorder="1"/>
    <xf numFmtId="164" fontId="2" fillId="3" borderId="1" xfId="1" applyNumberFormat="1" applyFont="1" applyFill="1" applyBorder="1"/>
    <xf numFmtId="0" fontId="4" fillId="0" borderId="0" xfId="0" applyFont="1" applyAlignment="1">
      <alignment horizontal="center"/>
    </xf>
    <xf numFmtId="1" fontId="4" fillId="0" borderId="0" xfId="0" applyNumberFormat="1" applyFont="1"/>
    <xf numFmtId="164" fontId="4" fillId="4" borderId="1" xfId="1" applyNumberFormat="1" applyFont="1" applyFill="1" applyBorder="1" applyAlignment="1">
      <alignment vertical="center"/>
    </xf>
    <xf numFmtId="164" fontId="2" fillId="3" borderId="1" xfId="1" applyNumberFormat="1" applyFont="1" applyFill="1" applyBorder="1" applyAlignment="1">
      <alignment horizontal="right"/>
    </xf>
    <xf numFmtId="164" fontId="4" fillId="0" borderId="1" xfId="1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center"/>
    </xf>
    <xf numFmtId="3" fontId="4" fillId="0" borderId="0" xfId="0" applyNumberFormat="1" applyFont="1"/>
    <xf numFmtId="43" fontId="4" fillId="0" borderId="0" xfId="0" applyNumberFormat="1" applyFont="1"/>
    <xf numFmtId="164" fontId="4" fillId="0" borderId="0" xfId="1" applyNumberFormat="1" applyFont="1"/>
    <xf numFmtId="43" fontId="4" fillId="0" borderId="0" xfId="1" applyFont="1"/>
    <xf numFmtId="3" fontId="5" fillId="0" borderId="2" xfId="0" applyNumberFormat="1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164" fontId="6" fillId="0" borderId="0" xfId="1" applyNumberFormat="1" applyFont="1"/>
    <xf numFmtId="164" fontId="7" fillId="0" borderId="0" xfId="1" applyNumberFormat="1" applyFont="1"/>
    <xf numFmtId="164" fontId="8" fillId="0" borderId="0" xfId="1" applyNumberFormat="1" applyFont="1"/>
    <xf numFmtId="164" fontId="9" fillId="0" borderId="0" xfId="1" applyNumberFormat="1" applyFont="1"/>
    <xf numFmtId="164" fontId="10" fillId="0" borderId="0" xfId="1" applyNumberFormat="1" applyFont="1"/>
    <xf numFmtId="0" fontId="3" fillId="2" borderId="1" xfId="0" applyFont="1" applyFill="1" applyBorder="1" applyAlignment="1">
      <alignment horizontal="center"/>
    </xf>
    <xf numFmtId="164" fontId="11" fillId="0" borderId="0" xfId="1" applyNumberFormat="1" applyFont="1"/>
    <xf numFmtId="0" fontId="4" fillId="0" borderId="0" xfId="0" applyFont="1" applyBorder="1"/>
    <xf numFmtId="164" fontId="4" fillId="0" borderId="0" xfId="0" applyNumberFormat="1" applyFont="1" applyBorder="1"/>
    <xf numFmtId="0" fontId="4" fillId="0" borderId="0" xfId="0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808000"/>
      <color rgb="FFFF0000"/>
      <color rgb="FF990033"/>
      <color rgb="FFFF0066"/>
      <color rgb="FFCC00CC"/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61BA-1085-4566-B0B0-82F0D5CD2F47}">
  <dimension ref="B1:Q208"/>
  <sheetViews>
    <sheetView tabSelected="1" topLeftCell="A102" zoomScaleNormal="100" workbookViewId="0">
      <selection activeCell="I115" sqref="I115"/>
    </sheetView>
  </sheetViews>
  <sheetFormatPr defaultColWidth="8.7109375" defaultRowHeight="12.75" x14ac:dyDescent="0.2"/>
  <cols>
    <col min="1" max="1" width="8.7109375" style="1"/>
    <col min="2" max="2" width="3.5703125" style="1" bestFit="1" customWidth="1"/>
    <col min="3" max="3" width="50.42578125" style="1" bestFit="1" customWidth="1"/>
    <col min="4" max="4" width="25" style="13" bestFit="1" customWidth="1"/>
    <col min="5" max="5" width="8.42578125" style="13" bestFit="1" customWidth="1"/>
    <col min="6" max="6" width="10.140625" style="1" bestFit="1" customWidth="1"/>
    <col min="7" max="7" width="12.5703125" style="1" bestFit="1" customWidth="1"/>
    <col min="8" max="8" width="12" style="21" bestFit="1" customWidth="1"/>
    <col min="9" max="9" width="12.42578125" style="1" bestFit="1" customWidth="1"/>
    <col min="10" max="10" width="13.5703125" style="1" bestFit="1" customWidth="1"/>
    <col min="11" max="11" width="12.42578125" style="1" bestFit="1" customWidth="1"/>
    <col min="12" max="12" width="10" style="1" bestFit="1" customWidth="1"/>
    <col min="13" max="13" width="12.7109375" style="1" customWidth="1"/>
    <col min="14" max="14" width="10" style="1" bestFit="1" customWidth="1"/>
    <col min="15" max="16" width="12.42578125" style="1" bestFit="1" customWidth="1"/>
    <col min="17" max="17" width="10" style="1" bestFit="1" customWidth="1"/>
    <col min="18" max="16384" width="8.7109375" style="1"/>
  </cols>
  <sheetData>
    <row r="1" spans="2:12" ht="13.5" thickBot="1" x14ac:dyDescent="0.25">
      <c r="K1" s="23">
        <v>422662</v>
      </c>
    </row>
    <row r="2" spans="2:12" ht="19.5" thickBot="1" x14ac:dyDescent="0.35">
      <c r="B2" s="30" t="s">
        <v>0</v>
      </c>
      <c r="C2" s="30"/>
      <c r="D2" s="30"/>
      <c r="E2" s="30"/>
      <c r="F2" s="30"/>
      <c r="G2" s="30"/>
      <c r="I2" s="23">
        <v>300120</v>
      </c>
      <c r="K2" s="24">
        <v>395000</v>
      </c>
    </row>
    <row r="3" spans="2:12" ht="15.75" thickBot="1" x14ac:dyDescent="0.3"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3" t="s">
        <v>6</v>
      </c>
      <c r="I3" s="24">
        <v>235000</v>
      </c>
      <c r="K3" s="24">
        <v>242000</v>
      </c>
    </row>
    <row r="4" spans="2:12" ht="13.5" thickBot="1" x14ac:dyDescent="0.25">
      <c r="B4" s="4">
        <v>1</v>
      </c>
      <c r="C4" s="5" t="s">
        <v>7</v>
      </c>
      <c r="D4" s="6" t="s">
        <v>70</v>
      </c>
      <c r="E4" s="6">
        <v>585</v>
      </c>
      <c r="F4" s="7">
        <v>9</v>
      </c>
      <c r="G4" s="8">
        <v>172428.75</v>
      </c>
      <c r="I4" s="24">
        <v>45000</v>
      </c>
      <c r="J4" s="10"/>
      <c r="K4" s="24">
        <v>215178</v>
      </c>
    </row>
    <row r="5" spans="2:12" ht="13.5" thickBot="1" x14ac:dyDescent="0.25">
      <c r="B5" s="4">
        <f t="shared" ref="B5:B19" si="0">B4+1</f>
        <v>2</v>
      </c>
      <c r="C5" s="5" t="s">
        <v>8</v>
      </c>
      <c r="D5" s="6" t="s">
        <v>9</v>
      </c>
      <c r="E5" s="6" t="s">
        <v>10</v>
      </c>
      <c r="F5" s="9">
        <v>1</v>
      </c>
      <c r="G5" s="8">
        <v>138000</v>
      </c>
      <c r="I5" s="24">
        <v>33000</v>
      </c>
      <c r="K5" s="24">
        <v>28600</v>
      </c>
    </row>
    <row r="6" spans="2:12" ht="13.5" thickBot="1" x14ac:dyDescent="0.25">
      <c r="B6" s="4">
        <f t="shared" si="0"/>
        <v>3</v>
      </c>
      <c r="C6" s="5" t="s">
        <v>11</v>
      </c>
      <c r="D6" s="6" t="s">
        <v>12</v>
      </c>
      <c r="E6" s="6"/>
      <c r="F6" s="9">
        <v>4.5</v>
      </c>
      <c r="G6" s="8">
        <v>29700</v>
      </c>
      <c r="I6" s="24">
        <v>23590</v>
      </c>
      <c r="K6" s="24">
        <v>21099</v>
      </c>
    </row>
    <row r="7" spans="2:12" ht="13.5" thickBot="1" x14ac:dyDescent="0.25">
      <c r="B7" s="4">
        <f t="shared" si="0"/>
        <v>4</v>
      </c>
      <c r="C7" s="5" t="s">
        <v>13</v>
      </c>
      <c r="D7" s="6"/>
      <c r="E7" s="6"/>
      <c r="F7" s="9"/>
      <c r="G7" s="8">
        <v>28600</v>
      </c>
      <c r="I7" s="24">
        <v>71370</v>
      </c>
      <c r="K7" s="24">
        <v>52052</v>
      </c>
    </row>
    <row r="8" spans="2:12" ht="13.5" thickBot="1" x14ac:dyDescent="0.25">
      <c r="B8" s="4">
        <f t="shared" si="0"/>
        <v>5</v>
      </c>
      <c r="C8" s="5" t="s">
        <v>14</v>
      </c>
      <c r="D8" s="6"/>
      <c r="E8" s="6"/>
      <c r="F8" s="9"/>
      <c r="G8" s="8">
        <v>21099</v>
      </c>
      <c r="I8" s="24">
        <v>25620</v>
      </c>
      <c r="K8" s="24">
        <v>15555</v>
      </c>
    </row>
    <row r="9" spans="2:12" ht="13.5" thickBot="1" x14ac:dyDescent="0.25">
      <c r="B9" s="4">
        <f t="shared" si="0"/>
        <v>6</v>
      </c>
      <c r="C9" s="5" t="s">
        <v>15</v>
      </c>
      <c r="D9" s="6"/>
      <c r="E9" s="6"/>
      <c r="F9" s="9"/>
      <c r="G9" s="8">
        <v>7150</v>
      </c>
      <c r="H9" s="8">
        <v>7150</v>
      </c>
      <c r="I9" s="24">
        <v>60000</v>
      </c>
      <c r="K9" s="24">
        <v>14500</v>
      </c>
    </row>
    <row r="10" spans="2:12" ht="13.5" thickBot="1" x14ac:dyDescent="0.25">
      <c r="B10" s="4">
        <f t="shared" si="0"/>
        <v>7</v>
      </c>
      <c r="C10" s="5" t="s">
        <v>16</v>
      </c>
      <c r="D10" s="6"/>
      <c r="E10" s="6"/>
      <c r="F10" s="9"/>
      <c r="G10" s="8">
        <v>32500</v>
      </c>
      <c r="H10" s="8">
        <v>32500</v>
      </c>
      <c r="I10" s="24">
        <v>16500</v>
      </c>
      <c r="K10" s="24">
        <v>60000</v>
      </c>
    </row>
    <row r="11" spans="2:12" ht="13.5" thickBot="1" x14ac:dyDescent="0.25">
      <c r="B11" s="4">
        <f t="shared" si="0"/>
        <v>8</v>
      </c>
      <c r="C11" s="5" t="s">
        <v>17</v>
      </c>
      <c r="D11" s="6"/>
      <c r="E11" s="6"/>
      <c r="F11" s="9"/>
      <c r="G11" s="8">
        <v>12402</v>
      </c>
      <c r="H11" s="8">
        <v>12402</v>
      </c>
      <c r="I11" s="24">
        <v>7320</v>
      </c>
      <c r="K11" s="24">
        <v>10370</v>
      </c>
    </row>
    <row r="12" spans="2:12" ht="13.5" thickBot="1" x14ac:dyDescent="0.25">
      <c r="B12" s="4">
        <f t="shared" si="0"/>
        <v>9</v>
      </c>
      <c r="C12" s="5" t="s">
        <v>18</v>
      </c>
      <c r="D12" s="6"/>
      <c r="E12" s="6"/>
      <c r="F12" s="9"/>
      <c r="G12" s="8">
        <v>15795</v>
      </c>
      <c r="H12" s="21">
        <f>SUM(H9:H11)</f>
        <v>52052</v>
      </c>
      <c r="I12" s="24">
        <v>25620</v>
      </c>
      <c r="K12" s="24">
        <v>36295</v>
      </c>
    </row>
    <row r="13" spans="2:12" ht="13.5" thickBot="1" x14ac:dyDescent="0.25">
      <c r="B13" s="4">
        <f t="shared" si="0"/>
        <v>10</v>
      </c>
      <c r="C13" s="5" t="s">
        <v>19</v>
      </c>
      <c r="D13" s="6"/>
      <c r="E13" s="6"/>
      <c r="F13" s="9"/>
      <c r="G13" s="8">
        <v>14500</v>
      </c>
      <c r="I13" s="24">
        <v>10000</v>
      </c>
      <c r="K13" s="24">
        <v>15555</v>
      </c>
    </row>
    <row r="14" spans="2:12" x14ac:dyDescent="0.2">
      <c r="B14" s="4">
        <f t="shared" si="0"/>
        <v>11</v>
      </c>
      <c r="C14" s="5" t="s">
        <v>20</v>
      </c>
      <c r="D14" s="6"/>
      <c r="E14" s="6"/>
      <c r="F14" s="9"/>
      <c r="G14" s="8">
        <v>60000</v>
      </c>
      <c r="I14" s="19">
        <f>SUM(I2:I13)</f>
        <v>853140</v>
      </c>
      <c r="K14" s="19">
        <f>SUM(K1:K13)</f>
        <v>1528866</v>
      </c>
      <c r="L14" s="14">
        <f>K14*4.5%</f>
        <v>68798.97</v>
      </c>
    </row>
    <row r="15" spans="2:12" x14ac:dyDescent="0.2">
      <c r="B15" s="4">
        <f t="shared" si="0"/>
        <v>12</v>
      </c>
      <c r="C15" s="5" t="s">
        <v>21</v>
      </c>
      <c r="D15" s="6"/>
      <c r="E15" s="6"/>
      <c r="F15" s="9"/>
      <c r="G15" s="8">
        <v>18427.5</v>
      </c>
      <c r="L15" s="19">
        <f>K14+L14</f>
        <v>1597664.97</v>
      </c>
    </row>
    <row r="16" spans="2:12" ht="13.5" thickBot="1" x14ac:dyDescent="0.25">
      <c r="B16" s="4">
        <f t="shared" si="0"/>
        <v>13</v>
      </c>
      <c r="C16" s="5" t="s">
        <v>22</v>
      </c>
      <c r="D16" s="6"/>
      <c r="E16" s="6"/>
      <c r="F16" s="9"/>
      <c r="G16" s="8">
        <v>5265</v>
      </c>
    </row>
    <row r="17" spans="2:16" ht="13.5" thickBot="1" x14ac:dyDescent="0.25">
      <c r="B17" s="4">
        <f t="shared" si="0"/>
        <v>14</v>
      </c>
      <c r="C17" s="5" t="s">
        <v>23</v>
      </c>
      <c r="D17" s="6"/>
      <c r="E17" s="6"/>
      <c r="F17" s="9"/>
      <c r="G17" s="8">
        <v>7897.5</v>
      </c>
      <c r="K17" s="23">
        <v>422662</v>
      </c>
    </row>
    <row r="18" spans="2:16" ht="13.5" thickBot="1" x14ac:dyDescent="0.25">
      <c r="B18" s="4">
        <f t="shared" si="0"/>
        <v>15</v>
      </c>
      <c r="C18" s="5" t="s">
        <v>69</v>
      </c>
      <c r="D18" s="6"/>
      <c r="E18" s="6"/>
      <c r="F18" s="9"/>
      <c r="G18" s="8">
        <v>0</v>
      </c>
      <c r="K18" s="24">
        <v>395000</v>
      </c>
    </row>
    <row r="19" spans="2:16" ht="13.5" thickBot="1" x14ac:dyDescent="0.25">
      <c r="B19" s="4">
        <f t="shared" si="0"/>
        <v>16</v>
      </c>
      <c r="C19" s="5" t="s">
        <v>24</v>
      </c>
      <c r="D19" s="6"/>
      <c r="E19" s="6"/>
      <c r="F19" s="9"/>
      <c r="G19" s="8">
        <v>0</v>
      </c>
      <c r="K19" s="24">
        <v>242000</v>
      </c>
    </row>
    <row r="20" spans="2:16" ht="15.75" thickBot="1" x14ac:dyDescent="0.3">
      <c r="B20" s="11"/>
      <c r="C20" s="2"/>
      <c r="D20" s="2"/>
      <c r="E20" s="2"/>
      <c r="F20" s="3"/>
      <c r="G20" s="12">
        <f>SUM(G4:G19)</f>
        <v>563764.75</v>
      </c>
      <c r="K20" s="24">
        <v>215178</v>
      </c>
    </row>
    <row r="21" spans="2:16" ht="13.5" thickBot="1" x14ac:dyDescent="0.25">
      <c r="G21" s="10"/>
      <c r="I21" s="22"/>
      <c r="K21" s="24">
        <v>33000</v>
      </c>
    </row>
    <row r="22" spans="2:16" ht="19.5" thickBot="1" x14ac:dyDescent="0.35">
      <c r="B22" s="30" t="s">
        <v>25</v>
      </c>
      <c r="C22" s="30"/>
      <c r="D22" s="30"/>
      <c r="E22" s="30"/>
      <c r="F22" s="30"/>
      <c r="G22" s="30"/>
      <c r="I22" s="23">
        <v>358020</v>
      </c>
      <c r="K22" s="24">
        <v>38520</v>
      </c>
    </row>
    <row r="23" spans="2:16" ht="15.75" thickBot="1" x14ac:dyDescent="0.3">
      <c r="B23" s="2" t="s">
        <v>1</v>
      </c>
      <c r="C23" s="2" t="s">
        <v>2</v>
      </c>
      <c r="D23" s="2" t="s">
        <v>3</v>
      </c>
      <c r="E23" s="2" t="s">
        <v>4</v>
      </c>
      <c r="F23" s="3" t="s">
        <v>5</v>
      </c>
      <c r="G23" s="3" t="s">
        <v>6</v>
      </c>
      <c r="I23" s="24">
        <v>455000</v>
      </c>
      <c r="K23" s="24">
        <v>65650</v>
      </c>
      <c r="M23" s="23">
        <v>373320</v>
      </c>
      <c r="P23" s="23">
        <v>358020</v>
      </c>
    </row>
    <row r="24" spans="2:16" ht="13.5" thickBot="1" x14ac:dyDescent="0.25">
      <c r="B24" s="4">
        <v>1</v>
      </c>
      <c r="C24" s="5" t="s">
        <v>7</v>
      </c>
      <c r="D24" s="6" t="s">
        <v>70</v>
      </c>
      <c r="E24" s="6">
        <v>585</v>
      </c>
      <c r="F24" s="7">
        <v>17</v>
      </c>
      <c r="G24" s="8">
        <v>348075</v>
      </c>
      <c r="I24" s="24">
        <v>235000</v>
      </c>
      <c r="K24" s="24">
        <v>15555</v>
      </c>
      <c r="M24" s="24">
        <v>455000</v>
      </c>
      <c r="P24" s="24">
        <v>180000</v>
      </c>
    </row>
    <row r="25" spans="2:16" ht="13.5" thickBot="1" x14ac:dyDescent="0.25">
      <c r="B25" s="4">
        <f t="shared" ref="B25:B39" si="1">B24+1</f>
        <v>2</v>
      </c>
      <c r="C25" s="5" t="s">
        <v>8</v>
      </c>
      <c r="D25" s="6" t="s">
        <v>26</v>
      </c>
      <c r="E25" s="6" t="s">
        <v>27</v>
      </c>
      <c r="F25" s="9">
        <v>1</v>
      </c>
      <c r="G25" s="8">
        <v>198000</v>
      </c>
      <c r="I25" s="24">
        <v>215178</v>
      </c>
      <c r="K25" s="24">
        <v>14500</v>
      </c>
      <c r="M25" s="24">
        <v>235000</v>
      </c>
      <c r="P25" s="24">
        <v>215178</v>
      </c>
    </row>
    <row r="26" spans="2:16" ht="13.5" thickBot="1" x14ac:dyDescent="0.25">
      <c r="B26" s="4">
        <f t="shared" si="1"/>
        <v>3</v>
      </c>
      <c r="C26" s="5" t="s">
        <v>11</v>
      </c>
      <c r="D26" s="6" t="s">
        <v>12</v>
      </c>
      <c r="E26" s="6"/>
      <c r="F26" s="9">
        <f>F24/2</f>
        <v>8.5</v>
      </c>
      <c r="G26" s="8">
        <v>56100</v>
      </c>
      <c r="I26" s="24">
        <v>33000</v>
      </c>
      <c r="K26" s="24">
        <v>60000</v>
      </c>
      <c r="L26" s="22"/>
      <c r="M26" s="24">
        <v>215178</v>
      </c>
      <c r="P26" s="24">
        <v>36875</v>
      </c>
    </row>
    <row r="27" spans="2:16" ht="13.5" thickBot="1" x14ac:dyDescent="0.25">
      <c r="B27" s="4">
        <f t="shared" si="1"/>
        <v>4</v>
      </c>
      <c r="C27" s="5" t="s">
        <v>13</v>
      </c>
      <c r="D27" s="6"/>
      <c r="E27" s="6"/>
      <c r="F27" s="9"/>
      <c r="G27" s="8">
        <v>36875</v>
      </c>
      <c r="I27" s="24">
        <v>38520</v>
      </c>
      <c r="K27" s="24">
        <v>10370</v>
      </c>
      <c r="M27" s="24">
        <v>33000</v>
      </c>
      <c r="P27" s="24">
        <v>21099</v>
      </c>
    </row>
    <row r="28" spans="2:16" ht="13.5" thickBot="1" x14ac:dyDescent="0.25">
      <c r="B28" s="4">
        <f t="shared" si="1"/>
        <v>5</v>
      </c>
      <c r="C28" s="5" t="s">
        <v>14</v>
      </c>
      <c r="D28" s="6"/>
      <c r="E28" s="6"/>
      <c r="F28" s="9"/>
      <c r="G28" s="8">
        <v>21099</v>
      </c>
      <c r="I28" s="24">
        <v>65650</v>
      </c>
      <c r="K28" s="24">
        <v>36295</v>
      </c>
      <c r="M28" s="24">
        <v>38520</v>
      </c>
      <c r="P28" s="24">
        <v>57850</v>
      </c>
    </row>
    <row r="29" spans="2:16" ht="13.5" thickBot="1" x14ac:dyDescent="0.25">
      <c r="B29" s="4">
        <f t="shared" si="1"/>
        <v>6</v>
      </c>
      <c r="C29" s="5" t="s">
        <v>15</v>
      </c>
      <c r="D29" s="6"/>
      <c r="E29" s="6"/>
      <c r="F29" s="9"/>
      <c r="G29" s="8">
        <v>7150</v>
      </c>
      <c r="H29" s="8">
        <v>7150</v>
      </c>
      <c r="I29" s="24">
        <v>15555</v>
      </c>
      <c r="K29" s="24">
        <v>15555</v>
      </c>
      <c r="M29" s="24">
        <v>65650</v>
      </c>
      <c r="P29" s="24">
        <v>29835</v>
      </c>
    </row>
    <row r="30" spans="2:16" ht="13.5" thickBot="1" x14ac:dyDescent="0.25">
      <c r="B30" s="4">
        <f t="shared" si="1"/>
        <v>7</v>
      </c>
      <c r="C30" s="5" t="s">
        <v>16</v>
      </c>
      <c r="D30" s="6"/>
      <c r="E30" s="6"/>
      <c r="F30" s="9"/>
      <c r="G30" s="8">
        <v>39000</v>
      </c>
      <c r="H30" s="8">
        <v>39000</v>
      </c>
      <c r="I30" s="24">
        <v>14500</v>
      </c>
      <c r="K30" s="19">
        <f>SUM(K17:K29)</f>
        <v>1564285</v>
      </c>
      <c r="M30" s="24">
        <v>15555</v>
      </c>
      <c r="P30" s="24">
        <v>14500</v>
      </c>
    </row>
    <row r="31" spans="2:16" ht="13.5" thickBot="1" x14ac:dyDescent="0.25">
      <c r="B31" s="4">
        <f t="shared" si="1"/>
        <v>8</v>
      </c>
      <c r="C31" s="5" t="s">
        <v>17</v>
      </c>
      <c r="D31" s="6"/>
      <c r="E31" s="6"/>
      <c r="F31" s="9"/>
      <c r="G31" s="8">
        <v>11700</v>
      </c>
      <c r="H31" s="8">
        <v>11700</v>
      </c>
      <c r="I31" s="24">
        <v>60000</v>
      </c>
      <c r="K31" s="21">
        <f>K30*4.5%</f>
        <v>70392.824999999997</v>
      </c>
      <c r="M31" s="24">
        <v>14500</v>
      </c>
      <c r="P31" s="24">
        <v>60000</v>
      </c>
    </row>
    <row r="32" spans="2:16" ht="13.5" thickBot="1" x14ac:dyDescent="0.25">
      <c r="B32" s="4">
        <f t="shared" si="1"/>
        <v>9</v>
      </c>
      <c r="C32" s="5" t="s">
        <v>18</v>
      </c>
      <c r="D32" s="6"/>
      <c r="E32" s="6"/>
      <c r="F32" s="9"/>
      <c r="G32" s="8">
        <v>29835</v>
      </c>
      <c r="H32" s="21">
        <f>SUM(H29:H31)</f>
        <v>57850</v>
      </c>
      <c r="I32" s="24">
        <v>10370</v>
      </c>
      <c r="K32" s="10">
        <f>K30+K31</f>
        <v>1634677.825</v>
      </c>
      <c r="M32" s="24">
        <v>60000</v>
      </c>
      <c r="P32" s="24">
        <v>9945</v>
      </c>
    </row>
    <row r="33" spans="2:17" ht="13.5" thickBot="1" x14ac:dyDescent="0.25">
      <c r="B33" s="4">
        <f t="shared" si="1"/>
        <v>10</v>
      </c>
      <c r="C33" s="5" t="s">
        <v>19</v>
      </c>
      <c r="D33" s="6"/>
      <c r="E33" s="6"/>
      <c r="F33" s="9"/>
      <c r="G33" s="8">
        <v>14500</v>
      </c>
      <c r="I33" s="24">
        <v>36295</v>
      </c>
      <c r="M33" s="24">
        <v>10370</v>
      </c>
      <c r="P33" s="24">
        <v>34808</v>
      </c>
    </row>
    <row r="34" spans="2:17" ht="13.5" thickBot="1" x14ac:dyDescent="0.25">
      <c r="B34" s="4">
        <f t="shared" si="1"/>
        <v>11</v>
      </c>
      <c r="C34" s="5" t="s">
        <v>20</v>
      </c>
      <c r="D34" s="6"/>
      <c r="E34" s="6"/>
      <c r="F34" s="9"/>
      <c r="G34" s="8">
        <v>60000</v>
      </c>
      <c r="I34" s="24">
        <v>15555</v>
      </c>
      <c r="M34" s="24">
        <v>36295</v>
      </c>
      <c r="P34" s="24">
        <v>9945</v>
      </c>
    </row>
    <row r="35" spans="2:17" ht="13.5" thickBot="1" x14ac:dyDescent="0.25">
      <c r="B35" s="4">
        <f t="shared" si="1"/>
        <v>12</v>
      </c>
      <c r="C35" s="5" t="s">
        <v>21</v>
      </c>
      <c r="D35" s="6"/>
      <c r="E35" s="6"/>
      <c r="F35" s="9"/>
      <c r="G35" s="8">
        <v>34807.5</v>
      </c>
      <c r="I35" s="19">
        <f>SUM(I22:I34)</f>
        <v>1552643</v>
      </c>
      <c r="J35" s="21">
        <f>I35*4.5%</f>
        <v>69868.934999999998</v>
      </c>
      <c r="K35" s="10">
        <f>I36+J35</f>
        <v>1692380.87</v>
      </c>
      <c r="M35" s="19">
        <v>15555</v>
      </c>
      <c r="P35" s="24">
        <v>46262</v>
      </c>
    </row>
    <row r="36" spans="2:17" x14ac:dyDescent="0.2">
      <c r="B36" s="4">
        <f t="shared" si="1"/>
        <v>13</v>
      </c>
      <c r="C36" s="5" t="s">
        <v>22</v>
      </c>
      <c r="D36" s="6"/>
      <c r="E36" s="6"/>
      <c r="F36" s="9"/>
      <c r="G36" s="8">
        <v>9945</v>
      </c>
      <c r="I36" s="10">
        <f>I35+J35</f>
        <v>1622511.9350000001</v>
      </c>
      <c r="M36" s="19">
        <f>SUM(M23:M35)</f>
        <v>1567943</v>
      </c>
      <c r="N36" s="21">
        <f>M36*4.5%</f>
        <v>70557.434999999998</v>
      </c>
      <c r="P36" s="19">
        <f>SUM(P23:P35)</f>
        <v>1074317</v>
      </c>
      <c r="Q36" s="21">
        <f>P36*4.5%</f>
        <v>48344.264999999999</v>
      </c>
    </row>
    <row r="37" spans="2:17" x14ac:dyDescent="0.2">
      <c r="B37" s="4">
        <f t="shared" si="1"/>
        <v>14</v>
      </c>
      <c r="C37" s="5" t="s">
        <v>23</v>
      </c>
      <c r="D37" s="6"/>
      <c r="E37" s="6"/>
      <c r="F37" s="9"/>
      <c r="G37" s="8">
        <v>9945</v>
      </c>
      <c r="M37" s="10">
        <f>M36+N36</f>
        <v>1638500.4350000001</v>
      </c>
      <c r="P37" s="10">
        <f>P36+Q36</f>
        <v>1122661.2649999999</v>
      </c>
    </row>
    <row r="38" spans="2:17" x14ac:dyDescent="0.2">
      <c r="B38" s="4">
        <f t="shared" si="1"/>
        <v>15</v>
      </c>
      <c r="C38" s="5" t="s">
        <v>69</v>
      </c>
      <c r="D38" s="6"/>
      <c r="E38" s="6"/>
      <c r="F38" s="9"/>
      <c r="G38" s="8">
        <v>0</v>
      </c>
    </row>
    <row r="39" spans="2:17" x14ac:dyDescent="0.2">
      <c r="B39" s="4">
        <f t="shared" si="1"/>
        <v>16</v>
      </c>
      <c r="C39" s="5" t="s">
        <v>24</v>
      </c>
      <c r="D39" s="6"/>
      <c r="E39" s="6"/>
      <c r="F39" s="9"/>
      <c r="G39" s="8">
        <v>0</v>
      </c>
    </row>
    <row r="40" spans="2:17" ht="15" x14ac:dyDescent="0.25">
      <c r="B40" s="11"/>
      <c r="C40" s="2"/>
      <c r="D40" s="2"/>
      <c r="E40" s="2"/>
      <c r="F40" s="3"/>
      <c r="G40" s="12">
        <f>SUM(G24:G39)</f>
        <v>877031.5</v>
      </c>
    </row>
    <row r="42" spans="2:17" ht="18.75" x14ac:dyDescent="0.3">
      <c r="B42" s="30" t="s">
        <v>28</v>
      </c>
      <c r="C42" s="30"/>
      <c r="D42" s="30"/>
      <c r="E42" s="30"/>
      <c r="F42" s="30"/>
      <c r="G42" s="30"/>
    </row>
    <row r="43" spans="2:17" ht="15" x14ac:dyDescent="0.25">
      <c r="B43" s="2" t="s">
        <v>1</v>
      </c>
      <c r="C43" s="2" t="s">
        <v>2</v>
      </c>
      <c r="D43" s="2" t="s">
        <v>3</v>
      </c>
      <c r="E43" s="2" t="s">
        <v>4</v>
      </c>
      <c r="F43" s="3" t="s">
        <v>5</v>
      </c>
      <c r="G43" s="3" t="s">
        <v>6</v>
      </c>
    </row>
    <row r="44" spans="2:17" x14ac:dyDescent="0.2">
      <c r="B44" s="4">
        <v>1</v>
      </c>
      <c r="C44" s="5" t="s">
        <v>7</v>
      </c>
      <c r="D44" s="6" t="s">
        <v>70</v>
      </c>
      <c r="E44" s="6">
        <v>585</v>
      </c>
      <c r="F44" s="7">
        <v>26</v>
      </c>
      <c r="G44" s="8">
        <v>498127.5</v>
      </c>
    </row>
    <row r="45" spans="2:17" x14ac:dyDescent="0.2">
      <c r="B45" s="4">
        <f t="shared" ref="B45:B59" si="2">B44+1</f>
        <v>2</v>
      </c>
      <c r="C45" s="5" t="s">
        <v>8</v>
      </c>
      <c r="D45" s="6" t="s">
        <v>26</v>
      </c>
      <c r="E45" s="6" t="s">
        <v>29</v>
      </c>
      <c r="F45" s="9">
        <v>1</v>
      </c>
      <c r="G45" s="8">
        <v>243000</v>
      </c>
    </row>
    <row r="46" spans="2:17" x14ac:dyDescent="0.2">
      <c r="B46" s="4">
        <f t="shared" si="2"/>
        <v>3</v>
      </c>
      <c r="C46" s="5" t="s">
        <v>11</v>
      </c>
      <c r="D46" s="6" t="s">
        <v>12</v>
      </c>
      <c r="E46" s="6"/>
      <c r="F46" s="9">
        <f>F44/2</f>
        <v>13</v>
      </c>
      <c r="G46" s="8">
        <v>85800</v>
      </c>
    </row>
    <row r="47" spans="2:17" x14ac:dyDescent="0.2">
      <c r="B47" s="4">
        <f t="shared" si="2"/>
        <v>4</v>
      </c>
      <c r="C47" s="5" t="s">
        <v>13</v>
      </c>
      <c r="D47" s="6"/>
      <c r="E47" s="6"/>
      <c r="F47" s="9"/>
      <c r="G47" s="8">
        <v>42380</v>
      </c>
    </row>
    <row r="48" spans="2:17" x14ac:dyDescent="0.2">
      <c r="B48" s="4">
        <f t="shared" si="2"/>
        <v>5</v>
      </c>
      <c r="C48" s="5" t="s">
        <v>14</v>
      </c>
      <c r="D48" s="6"/>
      <c r="E48" s="6"/>
      <c r="F48" s="9"/>
      <c r="G48" s="8">
        <v>31512</v>
      </c>
    </row>
    <row r="49" spans="2:7" x14ac:dyDescent="0.2">
      <c r="B49" s="4">
        <f t="shared" si="2"/>
        <v>6</v>
      </c>
      <c r="C49" s="5" t="s">
        <v>15</v>
      </c>
      <c r="D49" s="6"/>
      <c r="E49" s="6"/>
      <c r="F49" s="9"/>
      <c r="G49" s="8">
        <v>12025</v>
      </c>
    </row>
    <row r="50" spans="2:7" x14ac:dyDescent="0.2">
      <c r="B50" s="4">
        <f t="shared" si="2"/>
        <v>7</v>
      </c>
      <c r="C50" s="5" t="s">
        <v>16</v>
      </c>
      <c r="D50" s="6"/>
      <c r="E50" s="6"/>
      <c r="F50" s="9"/>
      <c r="G50" s="8">
        <v>58500</v>
      </c>
    </row>
    <row r="51" spans="2:7" x14ac:dyDescent="0.2">
      <c r="B51" s="4">
        <f t="shared" si="2"/>
        <v>8</v>
      </c>
      <c r="C51" s="5" t="s">
        <v>17</v>
      </c>
      <c r="D51" s="6"/>
      <c r="E51" s="6"/>
      <c r="F51" s="9"/>
      <c r="G51" s="8">
        <v>15600</v>
      </c>
    </row>
    <row r="52" spans="2:7" x14ac:dyDescent="0.2">
      <c r="B52" s="4">
        <f t="shared" si="2"/>
        <v>9</v>
      </c>
      <c r="C52" s="5" t="s">
        <v>18</v>
      </c>
      <c r="D52" s="6"/>
      <c r="E52" s="6"/>
      <c r="F52" s="9"/>
      <c r="G52" s="8">
        <v>45630</v>
      </c>
    </row>
    <row r="53" spans="2:7" x14ac:dyDescent="0.2">
      <c r="B53" s="4">
        <f t="shared" si="2"/>
        <v>10</v>
      </c>
      <c r="C53" s="5" t="s">
        <v>19</v>
      </c>
      <c r="D53" s="6"/>
      <c r="E53" s="6"/>
      <c r="F53" s="9"/>
      <c r="G53" s="8">
        <v>14500</v>
      </c>
    </row>
    <row r="54" spans="2:7" x14ac:dyDescent="0.2">
      <c r="B54" s="4">
        <f t="shared" si="2"/>
        <v>11</v>
      </c>
      <c r="C54" s="5" t="s">
        <v>20</v>
      </c>
      <c r="D54" s="6"/>
      <c r="E54" s="6"/>
      <c r="F54" s="9"/>
      <c r="G54" s="8">
        <v>60000</v>
      </c>
    </row>
    <row r="55" spans="2:7" x14ac:dyDescent="0.2">
      <c r="B55" s="4">
        <f t="shared" si="2"/>
        <v>12</v>
      </c>
      <c r="C55" s="5" t="s">
        <v>21</v>
      </c>
      <c r="D55" s="6"/>
      <c r="E55" s="6"/>
      <c r="F55" s="9"/>
      <c r="G55" s="8">
        <v>53235</v>
      </c>
    </row>
    <row r="56" spans="2:7" x14ac:dyDescent="0.2">
      <c r="B56" s="4">
        <f t="shared" si="2"/>
        <v>13</v>
      </c>
      <c r="C56" s="5" t="s">
        <v>22</v>
      </c>
      <c r="D56" s="6"/>
      <c r="E56" s="6"/>
      <c r="F56" s="9"/>
      <c r="G56" s="8">
        <v>15210</v>
      </c>
    </row>
    <row r="57" spans="2:7" x14ac:dyDescent="0.2">
      <c r="B57" s="4">
        <f t="shared" si="2"/>
        <v>14</v>
      </c>
      <c r="C57" s="5" t="s">
        <v>23</v>
      </c>
      <c r="D57" s="6"/>
      <c r="E57" s="6"/>
      <c r="F57" s="9"/>
      <c r="G57" s="8">
        <v>15210</v>
      </c>
    </row>
    <row r="58" spans="2:7" x14ac:dyDescent="0.2">
      <c r="B58" s="4">
        <f t="shared" si="2"/>
        <v>15</v>
      </c>
      <c r="C58" s="5" t="s">
        <v>69</v>
      </c>
      <c r="D58" s="6"/>
      <c r="E58" s="6"/>
      <c r="F58" s="9"/>
      <c r="G58" s="8">
        <v>0</v>
      </c>
    </row>
    <row r="59" spans="2:7" x14ac:dyDescent="0.2">
      <c r="B59" s="4">
        <f t="shared" si="2"/>
        <v>16</v>
      </c>
      <c r="C59" s="5" t="s">
        <v>24</v>
      </c>
      <c r="D59" s="6"/>
      <c r="E59" s="6"/>
      <c r="F59" s="9"/>
      <c r="G59" s="8">
        <v>0</v>
      </c>
    </row>
    <row r="60" spans="2:7" ht="15" x14ac:dyDescent="0.25">
      <c r="B60" s="11"/>
      <c r="C60" s="2"/>
      <c r="D60" s="2"/>
      <c r="E60" s="2"/>
      <c r="F60" s="3"/>
      <c r="G60" s="12">
        <f>SUM(G44:G59)</f>
        <v>1190729.5</v>
      </c>
    </row>
    <row r="62" spans="2:7" ht="18.75" x14ac:dyDescent="0.3">
      <c r="B62" s="30" t="s">
        <v>30</v>
      </c>
      <c r="C62" s="30"/>
      <c r="D62" s="30"/>
      <c r="E62" s="30"/>
      <c r="F62" s="30"/>
      <c r="G62" s="30"/>
    </row>
    <row r="63" spans="2:7" ht="15" x14ac:dyDescent="0.25">
      <c r="B63" s="2" t="s">
        <v>1</v>
      </c>
      <c r="C63" s="2" t="s">
        <v>2</v>
      </c>
      <c r="D63" s="2" t="s">
        <v>3</v>
      </c>
      <c r="E63" s="2" t="s">
        <v>4</v>
      </c>
      <c r="F63" s="3" t="s">
        <v>5</v>
      </c>
      <c r="G63" s="3" t="s">
        <v>6</v>
      </c>
    </row>
    <row r="64" spans="2:7" x14ac:dyDescent="0.2">
      <c r="B64" s="4">
        <v>1</v>
      </c>
      <c r="C64" s="5" t="s">
        <v>7</v>
      </c>
      <c r="D64" s="6" t="s">
        <v>70</v>
      </c>
      <c r="E64" s="6">
        <v>585</v>
      </c>
      <c r="F64" s="7">
        <v>34</v>
      </c>
      <c r="G64" s="8">
        <v>651397.5</v>
      </c>
    </row>
    <row r="65" spans="2:8" x14ac:dyDescent="0.2">
      <c r="B65" s="4">
        <f t="shared" ref="B65:B79" si="3">B64+1</f>
        <v>2</v>
      </c>
      <c r="C65" s="5" t="s">
        <v>8</v>
      </c>
      <c r="D65" s="6" t="s">
        <v>26</v>
      </c>
      <c r="E65" s="6" t="s">
        <v>31</v>
      </c>
      <c r="F65" s="9">
        <v>1</v>
      </c>
      <c r="G65" s="8">
        <v>293000</v>
      </c>
    </row>
    <row r="66" spans="2:8" x14ac:dyDescent="0.2">
      <c r="B66" s="4">
        <f t="shared" si="3"/>
        <v>3</v>
      </c>
      <c r="C66" s="5" t="s">
        <v>11</v>
      </c>
      <c r="D66" s="6" t="s">
        <v>12</v>
      </c>
      <c r="E66" s="6"/>
      <c r="F66" s="9">
        <f>F64/2</f>
        <v>17</v>
      </c>
      <c r="G66" s="8">
        <v>112200</v>
      </c>
    </row>
    <row r="67" spans="2:8" x14ac:dyDescent="0.2">
      <c r="B67" s="4">
        <f t="shared" si="3"/>
        <v>4</v>
      </c>
      <c r="C67" s="5" t="s">
        <v>13</v>
      </c>
      <c r="D67" s="6"/>
      <c r="E67" s="6"/>
      <c r="F67" s="9"/>
      <c r="G67" s="8">
        <v>50050</v>
      </c>
    </row>
    <row r="68" spans="2:8" x14ac:dyDescent="0.2">
      <c r="B68" s="4">
        <f t="shared" si="3"/>
        <v>5</v>
      </c>
      <c r="C68" s="5" t="s">
        <v>14</v>
      </c>
      <c r="D68" s="6"/>
      <c r="E68" s="6"/>
      <c r="F68" s="9"/>
      <c r="G68" s="8">
        <v>36972</v>
      </c>
    </row>
    <row r="69" spans="2:8" x14ac:dyDescent="0.2">
      <c r="B69" s="4">
        <f t="shared" si="3"/>
        <v>6</v>
      </c>
      <c r="C69" s="5" t="s">
        <v>15</v>
      </c>
      <c r="D69" s="6"/>
      <c r="E69" s="6"/>
      <c r="F69" s="9"/>
      <c r="G69" s="8">
        <v>28925</v>
      </c>
      <c r="H69" s="21">
        <f>G69+G70</f>
        <v>106925</v>
      </c>
    </row>
    <row r="70" spans="2:8" x14ac:dyDescent="0.2">
      <c r="B70" s="4">
        <f t="shared" si="3"/>
        <v>7</v>
      </c>
      <c r="C70" s="5" t="s">
        <v>16</v>
      </c>
      <c r="D70" s="6"/>
      <c r="E70" s="6"/>
      <c r="F70" s="9"/>
      <c r="G70" s="8">
        <v>78000</v>
      </c>
      <c r="H70" s="21">
        <f>G71+H69</f>
        <v>122525</v>
      </c>
    </row>
    <row r="71" spans="2:8" x14ac:dyDescent="0.2">
      <c r="B71" s="4">
        <f t="shared" si="3"/>
        <v>8</v>
      </c>
      <c r="C71" s="5" t="s">
        <v>17</v>
      </c>
      <c r="D71" s="6"/>
      <c r="E71" s="6"/>
      <c r="F71" s="9"/>
      <c r="G71" s="8">
        <v>15600</v>
      </c>
    </row>
    <row r="72" spans="2:8" x14ac:dyDescent="0.2">
      <c r="B72" s="4">
        <f t="shared" si="3"/>
        <v>9</v>
      </c>
      <c r="C72" s="5" t="s">
        <v>18</v>
      </c>
      <c r="D72" s="6"/>
      <c r="E72" s="6"/>
      <c r="F72" s="9"/>
      <c r="G72" s="8">
        <v>59670</v>
      </c>
    </row>
    <row r="73" spans="2:8" x14ac:dyDescent="0.2">
      <c r="B73" s="4">
        <f t="shared" si="3"/>
        <v>10</v>
      </c>
      <c r="C73" s="5" t="s">
        <v>19</v>
      </c>
      <c r="D73" s="6"/>
      <c r="E73" s="6"/>
      <c r="F73" s="9"/>
      <c r="G73" s="8">
        <v>14500</v>
      </c>
    </row>
    <row r="74" spans="2:8" x14ac:dyDescent="0.2">
      <c r="B74" s="4">
        <f t="shared" si="3"/>
        <v>11</v>
      </c>
      <c r="C74" s="5" t="s">
        <v>20</v>
      </c>
      <c r="D74" s="6"/>
      <c r="E74" s="6"/>
      <c r="F74" s="9"/>
      <c r="G74" s="8">
        <v>60000</v>
      </c>
    </row>
    <row r="75" spans="2:8" x14ac:dyDescent="0.2">
      <c r="B75" s="4">
        <f t="shared" si="3"/>
        <v>12</v>
      </c>
      <c r="C75" s="5" t="s">
        <v>21</v>
      </c>
      <c r="D75" s="6"/>
      <c r="E75" s="6"/>
      <c r="F75" s="9"/>
      <c r="G75" s="8">
        <v>69615</v>
      </c>
    </row>
    <row r="76" spans="2:8" x14ac:dyDescent="0.2">
      <c r="B76" s="4">
        <f t="shared" si="3"/>
        <v>13</v>
      </c>
      <c r="C76" s="5" t="s">
        <v>22</v>
      </c>
      <c r="D76" s="6"/>
      <c r="E76" s="6"/>
      <c r="F76" s="9"/>
      <c r="G76" s="8">
        <v>19890</v>
      </c>
    </row>
    <row r="77" spans="2:8" x14ac:dyDescent="0.2">
      <c r="B77" s="4">
        <f t="shared" si="3"/>
        <v>14</v>
      </c>
      <c r="C77" s="5" t="s">
        <v>23</v>
      </c>
      <c r="D77" s="6"/>
      <c r="E77" s="6"/>
      <c r="F77" s="9"/>
      <c r="G77" s="8">
        <v>19890</v>
      </c>
    </row>
    <row r="78" spans="2:8" x14ac:dyDescent="0.2">
      <c r="B78" s="4">
        <f t="shared" si="3"/>
        <v>15</v>
      </c>
      <c r="C78" s="5" t="s">
        <v>69</v>
      </c>
      <c r="D78" s="6"/>
      <c r="E78" s="6"/>
      <c r="F78" s="9"/>
      <c r="G78" s="8">
        <v>0</v>
      </c>
    </row>
    <row r="79" spans="2:8" x14ac:dyDescent="0.2">
      <c r="B79" s="4">
        <f t="shared" si="3"/>
        <v>16</v>
      </c>
      <c r="C79" s="5" t="s">
        <v>24</v>
      </c>
      <c r="D79" s="6"/>
      <c r="E79" s="6"/>
      <c r="F79" s="9"/>
      <c r="G79" s="8">
        <v>0</v>
      </c>
    </row>
    <row r="80" spans="2:8" ht="15" x14ac:dyDescent="0.25">
      <c r="B80" s="11"/>
      <c r="C80" s="2"/>
      <c r="D80" s="2"/>
      <c r="E80" s="2"/>
      <c r="F80" s="3"/>
      <c r="G80" s="12">
        <f>SUM(G64:G79)</f>
        <v>1509709.5</v>
      </c>
    </row>
    <row r="81" spans="2:8" x14ac:dyDescent="0.2">
      <c r="G81" s="14"/>
    </row>
    <row r="82" spans="2:8" ht="18.75" x14ac:dyDescent="0.3">
      <c r="B82" s="30" t="s">
        <v>32</v>
      </c>
      <c r="C82" s="30"/>
      <c r="D82" s="30"/>
      <c r="E82" s="30"/>
      <c r="F82" s="30"/>
      <c r="G82" s="30"/>
    </row>
    <row r="83" spans="2:8" ht="15" x14ac:dyDescent="0.25">
      <c r="B83" s="2" t="s">
        <v>1</v>
      </c>
      <c r="C83" s="2" t="s">
        <v>2</v>
      </c>
      <c r="D83" s="2" t="s">
        <v>3</v>
      </c>
      <c r="E83" s="2" t="s">
        <v>4</v>
      </c>
      <c r="F83" s="3" t="s">
        <v>5</v>
      </c>
      <c r="G83" s="3" t="s">
        <v>6</v>
      </c>
    </row>
    <row r="84" spans="2:8" x14ac:dyDescent="0.2">
      <c r="B84" s="4">
        <v>1</v>
      </c>
      <c r="C84" s="5" t="s">
        <v>7</v>
      </c>
      <c r="D84" s="6" t="s">
        <v>70</v>
      </c>
      <c r="E84" s="6">
        <v>585</v>
      </c>
      <c r="F84" s="7">
        <v>42</v>
      </c>
      <c r="G84" s="8">
        <v>804667.5</v>
      </c>
    </row>
    <row r="85" spans="2:8" x14ac:dyDescent="0.2">
      <c r="B85" s="4">
        <f t="shared" ref="B85:B99" si="4">B84+1</f>
        <v>2</v>
      </c>
      <c r="C85" s="5" t="s">
        <v>8</v>
      </c>
      <c r="D85" s="6" t="s">
        <v>26</v>
      </c>
      <c r="E85" s="6" t="s">
        <v>33</v>
      </c>
      <c r="F85" s="9">
        <v>1</v>
      </c>
      <c r="G85" s="8">
        <v>381000</v>
      </c>
    </row>
    <row r="86" spans="2:8" x14ac:dyDescent="0.2">
      <c r="B86" s="4">
        <f t="shared" si="4"/>
        <v>3</v>
      </c>
      <c r="C86" s="5" t="s">
        <v>11</v>
      </c>
      <c r="D86" s="6" t="s">
        <v>12</v>
      </c>
      <c r="E86" s="6"/>
      <c r="F86" s="9">
        <f>F84/2</f>
        <v>21</v>
      </c>
      <c r="G86" s="8">
        <v>138600</v>
      </c>
    </row>
    <row r="87" spans="2:8" x14ac:dyDescent="0.2">
      <c r="B87" s="4">
        <f t="shared" si="4"/>
        <v>4</v>
      </c>
      <c r="C87" s="5" t="s">
        <v>13</v>
      </c>
      <c r="D87" s="6"/>
      <c r="E87" s="6"/>
      <c r="F87" s="9">
        <v>1</v>
      </c>
      <c r="G87" s="8">
        <v>50050</v>
      </c>
    </row>
    <row r="88" spans="2:8" x14ac:dyDescent="0.2">
      <c r="B88" s="4">
        <f t="shared" si="4"/>
        <v>5</v>
      </c>
      <c r="C88" s="5" t="s">
        <v>14</v>
      </c>
      <c r="D88" s="6"/>
      <c r="E88" s="6"/>
      <c r="F88" s="9"/>
      <c r="G88" s="8">
        <v>40807</v>
      </c>
      <c r="H88" s="21">
        <f>G88+G89</f>
        <v>86632</v>
      </c>
    </row>
    <row r="89" spans="2:8" x14ac:dyDescent="0.2">
      <c r="B89" s="4">
        <f t="shared" si="4"/>
        <v>6</v>
      </c>
      <c r="C89" s="5" t="s">
        <v>15</v>
      </c>
      <c r="D89" s="6"/>
      <c r="E89" s="6"/>
      <c r="F89" s="9"/>
      <c r="G89" s="8">
        <v>45825</v>
      </c>
    </row>
    <row r="90" spans="2:8" x14ac:dyDescent="0.2">
      <c r="B90" s="4">
        <f t="shared" si="4"/>
        <v>7</v>
      </c>
      <c r="C90" s="5" t="s">
        <v>16</v>
      </c>
      <c r="D90" s="6"/>
      <c r="E90" s="6"/>
      <c r="F90" s="9"/>
      <c r="G90" s="8">
        <v>104000</v>
      </c>
    </row>
    <row r="91" spans="2:8" x14ac:dyDescent="0.2">
      <c r="B91" s="4">
        <f t="shared" si="4"/>
        <v>8</v>
      </c>
      <c r="C91" s="5" t="s">
        <v>17</v>
      </c>
      <c r="D91" s="6"/>
      <c r="E91" s="6"/>
      <c r="F91" s="9"/>
      <c r="G91" s="8">
        <v>15600</v>
      </c>
    </row>
    <row r="92" spans="2:8" x14ac:dyDescent="0.2">
      <c r="B92" s="4">
        <f t="shared" si="4"/>
        <v>9</v>
      </c>
      <c r="C92" s="5" t="s">
        <v>18</v>
      </c>
      <c r="D92" s="6"/>
      <c r="E92" s="6"/>
      <c r="F92" s="9"/>
      <c r="G92" s="8">
        <v>73710</v>
      </c>
    </row>
    <row r="93" spans="2:8" x14ac:dyDescent="0.2">
      <c r="B93" s="4">
        <f t="shared" si="4"/>
        <v>10</v>
      </c>
      <c r="C93" s="5" t="s">
        <v>19</v>
      </c>
      <c r="D93" s="6"/>
      <c r="E93" s="6"/>
      <c r="F93" s="9"/>
      <c r="G93" s="8">
        <v>14500</v>
      </c>
    </row>
    <row r="94" spans="2:8" x14ac:dyDescent="0.2">
      <c r="B94" s="4">
        <f t="shared" si="4"/>
        <v>11</v>
      </c>
      <c r="C94" s="5" t="s">
        <v>20</v>
      </c>
      <c r="D94" s="6"/>
      <c r="E94" s="6"/>
      <c r="F94" s="9"/>
      <c r="G94" s="8">
        <v>60000</v>
      </c>
    </row>
    <row r="95" spans="2:8" x14ac:dyDescent="0.2">
      <c r="B95" s="4">
        <f t="shared" si="4"/>
        <v>12</v>
      </c>
      <c r="C95" s="5" t="s">
        <v>21</v>
      </c>
      <c r="D95" s="6"/>
      <c r="E95" s="6"/>
      <c r="F95" s="9"/>
      <c r="G95" s="8">
        <v>85995</v>
      </c>
    </row>
    <row r="96" spans="2:8" x14ac:dyDescent="0.2">
      <c r="B96" s="4">
        <f t="shared" si="4"/>
        <v>13</v>
      </c>
      <c r="C96" s="5" t="s">
        <v>22</v>
      </c>
      <c r="D96" s="6"/>
      <c r="E96" s="6"/>
      <c r="F96" s="9"/>
      <c r="G96" s="8">
        <v>24570</v>
      </c>
    </row>
    <row r="97" spans="2:10" x14ac:dyDescent="0.2">
      <c r="B97" s="4">
        <f t="shared" si="4"/>
        <v>14</v>
      </c>
      <c r="C97" s="5" t="s">
        <v>23</v>
      </c>
      <c r="D97" s="6"/>
      <c r="E97" s="6"/>
      <c r="F97" s="9"/>
      <c r="G97" s="8">
        <v>24570</v>
      </c>
    </row>
    <row r="98" spans="2:10" x14ac:dyDescent="0.2">
      <c r="B98" s="4">
        <f t="shared" si="4"/>
        <v>15</v>
      </c>
      <c r="C98" s="5" t="s">
        <v>69</v>
      </c>
      <c r="D98" s="6"/>
      <c r="E98" s="6"/>
      <c r="F98" s="9"/>
      <c r="G98" s="8">
        <v>0</v>
      </c>
    </row>
    <row r="99" spans="2:10" x14ac:dyDescent="0.2">
      <c r="B99" s="4">
        <f t="shared" si="4"/>
        <v>16</v>
      </c>
      <c r="C99" s="5" t="s">
        <v>34</v>
      </c>
      <c r="D99" s="6"/>
      <c r="E99" s="6"/>
      <c r="F99" s="9"/>
      <c r="G99" s="8">
        <v>0</v>
      </c>
    </row>
    <row r="100" spans="2:10" ht="15" x14ac:dyDescent="0.25">
      <c r="B100" s="11"/>
      <c r="C100" s="2"/>
      <c r="D100" s="2"/>
      <c r="E100" s="2"/>
      <c r="F100" s="3"/>
      <c r="G100" s="12">
        <f>SUM(G84:G99)</f>
        <v>1863894.5</v>
      </c>
    </row>
    <row r="101" spans="2:10" x14ac:dyDescent="0.2">
      <c r="G101" s="14"/>
    </row>
    <row r="102" spans="2:10" ht="18.75" x14ac:dyDescent="0.3">
      <c r="B102" s="30" t="s">
        <v>35</v>
      </c>
      <c r="C102" s="30"/>
      <c r="D102" s="30"/>
      <c r="E102" s="30"/>
      <c r="F102" s="30"/>
      <c r="G102" s="30"/>
      <c r="I102" s="34"/>
      <c r="J102" s="32"/>
    </row>
    <row r="103" spans="2:10" ht="15" x14ac:dyDescent="0.25">
      <c r="B103" s="2" t="s">
        <v>1</v>
      </c>
      <c r="C103" s="2" t="s">
        <v>2</v>
      </c>
      <c r="D103" s="2" t="s">
        <v>3</v>
      </c>
      <c r="E103" s="2" t="s">
        <v>4</v>
      </c>
      <c r="F103" s="3" t="s">
        <v>5</v>
      </c>
      <c r="G103" s="3" t="s">
        <v>6</v>
      </c>
      <c r="I103" s="34"/>
      <c r="J103" s="32"/>
    </row>
    <row r="104" spans="2:10" ht="15.75" x14ac:dyDescent="0.25">
      <c r="B104" s="4">
        <v>1</v>
      </c>
      <c r="C104" s="5" t="s">
        <v>7</v>
      </c>
      <c r="D104" s="6" t="s">
        <v>70</v>
      </c>
      <c r="E104" s="6">
        <v>585</v>
      </c>
      <c r="F104" s="7">
        <v>86</v>
      </c>
      <c r="G104" s="8">
        <v>1647652.5</v>
      </c>
      <c r="H104" s="26"/>
      <c r="I104" s="34"/>
      <c r="J104" s="32"/>
    </row>
    <row r="105" spans="2:10" ht="15.75" x14ac:dyDescent="0.25">
      <c r="B105" s="4">
        <f t="shared" ref="B105:B119" si="5">B104+1</f>
        <v>2</v>
      </c>
      <c r="C105" s="5" t="s">
        <v>8</v>
      </c>
      <c r="D105" s="6" t="s">
        <v>36</v>
      </c>
      <c r="E105" s="6" t="s">
        <v>10</v>
      </c>
      <c r="F105" s="9">
        <v>1</v>
      </c>
      <c r="G105" s="8">
        <v>658000</v>
      </c>
      <c r="H105" s="27"/>
      <c r="I105" s="34"/>
      <c r="J105" s="32"/>
    </row>
    <row r="106" spans="2:10" ht="15.75" x14ac:dyDescent="0.25">
      <c r="B106" s="4">
        <f t="shared" si="5"/>
        <v>3</v>
      </c>
      <c r="C106" s="5" t="s">
        <v>11</v>
      </c>
      <c r="D106" s="6" t="s">
        <v>12</v>
      </c>
      <c r="E106" s="6"/>
      <c r="F106" s="9">
        <f>F104/2</f>
        <v>43</v>
      </c>
      <c r="G106" s="8">
        <v>283800</v>
      </c>
      <c r="H106" s="28"/>
      <c r="I106" s="34"/>
      <c r="J106" s="32"/>
    </row>
    <row r="107" spans="2:10" x14ac:dyDescent="0.2">
      <c r="B107" s="4">
        <f t="shared" si="5"/>
        <v>4</v>
      </c>
      <c r="C107" s="5" t="s">
        <v>13</v>
      </c>
      <c r="D107" s="6"/>
      <c r="E107" s="6"/>
      <c r="F107" s="9">
        <v>1</v>
      </c>
      <c r="G107" s="8">
        <v>59215</v>
      </c>
      <c r="H107" s="31">
        <f>(G107/50000)*60000</f>
        <v>71058</v>
      </c>
      <c r="I107" s="34"/>
      <c r="J107" s="32"/>
    </row>
    <row r="108" spans="2:10" x14ac:dyDescent="0.2">
      <c r="B108" s="4">
        <f t="shared" si="5"/>
        <v>5</v>
      </c>
      <c r="C108" s="5" t="s">
        <v>14</v>
      </c>
      <c r="D108" s="6"/>
      <c r="E108" s="6"/>
      <c r="F108" s="9"/>
      <c r="G108" s="8">
        <f>64688-1</f>
        <v>64687</v>
      </c>
      <c r="H108" s="31">
        <f>(G108/50000)*60000</f>
        <v>77624.399999999994</v>
      </c>
      <c r="I108" s="34"/>
      <c r="J108" s="32"/>
    </row>
    <row r="109" spans="2:10" x14ac:dyDescent="0.2">
      <c r="B109" s="4">
        <f t="shared" si="5"/>
        <v>6</v>
      </c>
      <c r="C109" s="5" t="s">
        <v>15</v>
      </c>
      <c r="D109" s="6"/>
      <c r="E109" s="6"/>
      <c r="F109" s="9"/>
      <c r="G109" s="8">
        <v>50765</v>
      </c>
      <c r="H109" s="31">
        <f>(G109/50000)*60000</f>
        <v>60918.000000000007</v>
      </c>
      <c r="I109" s="34"/>
      <c r="J109" s="32"/>
    </row>
    <row r="110" spans="2:10" x14ac:dyDescent="0.2">
      <c r="B110" s="4">
        <f t="shared" si="5"/>
        <v>7</v>
      </c>
      <c r="C110" s="5" t="s">
        <v>16</v>
      </c>
      <c r="D110" s="6"/>
      <c r="E110" s="6"/>
      <c r="F110" s="9"/>
      <c r="G110" s="8">
        <v>195000</v>
      </c>
      <c r="H110" s="31">
        <f>(G110/50000)*60000</f>
        <v>234000</v>
      </c>
      <c r="I110" s="34"/>
      <c r="J110" s="32"/>
    </row>
    <row r="111" spans="2:10" x14ac:dyDescent="0.2">
      <c r="B111" s="4">
        <f t="shared" si="5"/>
        <v>8</v>
      </c>
      <c r="C111" s="5" t="s">
        <v>17</v>
      </c>
      <c r="D111" s="6"/>
      <c r="E111" s="6"/>
      <c r="F111" s="9"/>
      <c r="G111" s="8">
        <v>78390</v>
      </c>
      <c r="H111" s="31">
        <f>(G111/50000)*60000</f>
        <v>94068</v>
      </c>
      <c r="I111" s="34"/>
      <c r="J111" s="32"/>
    </row>
    <row r="112" spans="2:10" x14ac:dyDescent="0.2">
      <c r="B112" s="4">
        <f t="shared" si="5"/>
        <v>9</v>
      </c>
      <c r="C112" s="5" t="s">
        <v>18</v>
      </c>
      <c r="D112" s="6"/>
      <c r="E112" s="6"/>
      <c r="F112" s="9"/>
      <c r="G112" s="8">
        <v>150930</v>
      </c>
      <c r="H112" s="31">
        <f>SUM(H109:H111)</f>
        <v>388986</v>
      </c>
      <c r="I112" s="34"/>
      <c r="J112" s="32"/>
    </row>
    <row r="113" spans="2:16" x14ac:dyDescent="0.2">
      <c r="B113" s="4">
        <f t="shared" si="5"/>
        <v>10</v>
      </c>
      <c r="C113" s="5" t="s">
        <v>19</v>
      </c>
      <c r="D113" s="6"/>
      <c r="E113" s="6"/>
      <c r="F113" s="9"/>
      <c r="G113" s="8">
        <v>14500</v>
      </c>
      <c r="H113" s="31">
        <f>SUM(H110:H112)</f>
        <v>717054</v>
      </c>
      <c r="I113" s="34"/>
      <c r="J113" s="32"/>
      <c r="O113" s="1">
        <v>574756</v>
      </c>
    </row>
    <row r="114" spans="2:16" x14ac:dyDescent="0.2">
      <c r="B114" s="4">
        <f t="shared" si="5"/>
        <v>11</v>
      </c>
      <c r="C114" s="5" t="s">
        <v>20</v>
      </c>
      <c r="D114" s="6"/>
      <c r="E114" s="6"/>
      <c r="F114" s="9"/>
      <c r="G114" s="8">
        <v>60000</v>
      </c>
      <c r="H114" s="31">
        <f>(G114/50000)*60000</f>
        <v>72000</v>
      </c>
      <c r="I114" s="34"/>
      <c r="J114" s="32"/>
      <c r="N114" s="1">
        <v>8888</v>
      </c>
      <c r="O114" s="1">
        <v>63737</v>
      </c>
    </row>
    <row r="115" spans="2:16" x14ac:dyDescent="0.2">
      <c r="B115" s="4">
        <f t="shared" si="5"/>
        <v>12</v>
      </c>
      <c r="C115" s="5" t="s">
        <v>21</v>
      </c>
      <c r="D115" s="6"/>
      <c r="E115" s="6"/>
      <c r="F115" s="9"/>
      <c r="G115" s="8">
        <v>176085</v>
      </c>
      <c r="H115" s="31">
        <f t="shared" ref="H115:H117" si="6">(G115/50000)*60000</f>
        <v>211302</v>
      </c>
      <c r="I115" s="34"/>
      <c r="J115" s="32"/>
      <c r="N115" s="1">
        <v>9837</v>
      </c>
      <c r="O115" s="1">
        <v>826525</v>
      </c>
      <c r="P115" s="1">
        <v>76363</v>
      </c>
    </row>
    <row r="116" spans="2:16" x14ac:dyDescent="0.2">
      <c r="B116" s="4">
        <f t="shared" si="5"/>
        <v>13</v>
      </c>
      <c r="C116" s="5" t="s">
        <v>22</v>
      </c>
      <c r="D116" s="6"/>
      <c r="E116" s="6"/>
      <c r="F116" s="9"/>
      <c r="G116" s="8">
        <v>50310</v>
      </c>
      <c r="H116" s="31">
        <f t="shared" si="6"/>
        <v>60372</v>
      </c>
      <c r="I116" s="34"/>
      <c r="J116" s="32"/>
      <c r="M116" s="1">
        <v>7687</v>
      </c>
    </row>
    <row r="117" spans="2:16" x14ac:dyDescent="0.2">
      <c r="B117" s="4">
        <f t="shared" si="5"/>
        <v>14</v>
      </c>
      <c r="C117" s="5" t="s">
        <v>23</v>
      </c>
      <c r="D117" s="6"/>
      <c r="E117" s="6"/>
      <c r="F117" s="9"/>
      <c r="G117" s="8">
        <v>50310</v>
      </c>
      <c r="H117" s="31">
        <f t="shared" si="6"/>
        <v>60372</v>
      </c>
      <c r="I117" s="34"/>
      <c r="J117" s="32"/>
      <c r="O117" s="21">
        <f>M116+N115+O115+P115+O113+O114+N114</f>
        <v>1567793</v>
      </c>
    </row>
    <row r="118" spans="2:16" ht="15.75" x14ac:dyDescent="0.25">
      <c r="B118" s="4">
        <f t="shared" si="5"/>
        <v>15</v>
      </c>
      <c r="C118" s="5" t="s">
        <v>69</v>
      </c>
      <c r="D118" s="6"/>
      <c r="E118" s="6"/>
      <c r="F118" s="9"/>
      <c r="G118" s="8">
        <v>0</v>
      </c>
      <c r="H118" s="29"/>
      <c r="I118" s="34"/>
      <c r="J118" s="33"/>
    </row>
    <row r="119" spans="2:16" x14ac:dyDescent="0.2">
      <c r="B119" s="4">
        <f t="shared" si="5"/>
        <v>16</v>
      </c>
      <c r="C119" s="5" t="s">
        <v>34</v>
      </c>
      <c r="D119" s="6"/>
      <c r="E119" s="6"/>
      <c r="F119" s="9"/>
      <c r="G119" s="8">
        <v>0</v>
      </c>
      <c r="H119" s="25"/>
      <c r="I119" s="34"/>
      <c r="J119" s="32"/>
    </row>
    <row r="120" spans="2:16" ht="15" x14ac:dyDescent="0.25">
      <c r="B120" s="11"/>
      <c r="C120" s="2"/>
      <c r="D120" s="2"/>
      <c r="E120" s="2"/>
      <c r="F120" s="3"/>
      <c r="G120" s="12">
        <f>SUM(G104:G119)</f>
        <v>3539644.5</v>
      </c>
      <c r="I120" s="34"/>
      <c r="J120" s="32"/>
    </row>
    <row r="121" spans="2:16" x14ac:dyDescent="0.2">
      <c r="G121" s="14"/>
      <c r="I121" s="34"/>
      <c r="J121" s="32"/>
    </row>
    <row r="122" spans="2:16" ht="18.75" x14ac:dyDescent="0.3">
      <c r="B122" s="30" t="s">
        <v>37</v>
      </c>
      <c r="C122" s="30"/>
      <c r="D122" s="30"/>
      <c r="E122" s="30"/>
      <c r="F122" s="30"/>
      <c r="G122" s="30"/>
      <c r="I122" s="32"/>
      <c r="J122" s="32"/>
    </row>
    <row r="123" spans="2:16" ht="15" x14ac:dyDescent="0.25">
      <c r="B123" s="2" t="s">
        <v>1</v>
      </c>
      <c r="C123" s="2" t="s">
        <v>2</v>
      </c>
      <c r="D123" s="2" t="s">
        <v>3</v>
      </c>
      <c r="E123" s="2" t="s">
        <v>4</v>
      </c>
      <c r="F123" s="3" t="s">
        <v>5</v>
      </c>
      <c r="G123" s="3" t="s">
        <v>6</v>
      </c>
      <c r="I123" s="32"/>
      <c r="J123" s="32"/>
    </row>
    <row r="124" spans="2:16" x14ac:dyDescent="0.2">
      <c r="B124" s="4">
        <v>1</v>
      </c>
      <c r="C124" s="5" t="s">
        <v>7</v>
      </c>
      <c r="D124" s="6" t="s">
        <v>70</v>
      </c>
      <c r="E124" s="6">
        <v>585</v>
      </c>
      <c r="F124" s="7">
        <v>171</v>
      </c>
      <c r="G124" s="8">
        <v>3276146.25</v>
      </c>
    </row>
    <row r="125" spans="2:16" x14ac:dyDescent="0.2">
      <c r="B125" s="4">
        <f t="shared" ref="B125:B140" si="7">B124+1</f>
        <v>2</v>
      </c>
      <c r="C125" s="5" t="s">
        <v>8</v>
      </c>
      <c r="D125" s="6" t="s">
        <v>36</v>
      </c>
      <c r="E125" s="6">
        <v>115</v>
      </c>
      <c r="F125" s="9">
        <v>1</v>
      </c>
      <c r="G125" s="8">
        <v>1263000</v>
      </c>
    </row>
    <row r="126" spans="2:16" x14ac:dyDescent="0.2">
      <c r="B126" s="4">
        <f t="shared" si="7"/>
        <v>3</v>
      </c>
      <c r="C126" s="5" t="s">
        <v>38</v>
      </c>
      <c r="D126" s="6" t="s">
        <v>12</v>
      </c>
      <c r="E126" s="6"/>
      <c r="F126" s="9">
        <f>F124/2</f>
        <v>85.5</v>
      </c>
      <c r="G126" s="8">
        <v>564300</v>
      </c>
    </row>
    <row r="127" spans="2:16" x14ac:dyDescent="0.2">
      <c r="B127" s="4">
        <f t="shared" si="7"/>
        <v>4</v>
      </c>
      <c r="C127" s="5" t="s">
        <v>13</v>
      </c>
      <c r="D127" s="6"/>
      <c r="E127" s="6"/>
      <c r="F127" s="9">
        <v>1</v>
      </c>
      <c r="G127" s="8">
        <v>117000</v>
      </c>
    </row>
    <row r="128" spans="2:16" x14ac:dyDescent="0.2">
      <c r="B128" s="4">
        <f t="shared" si="7"/>
        <v>5</v>
      </c>
      <c r="C128" s="5" t="s">
        <v>39</v>
      </c>
      <c r="D128" s="6" t="s">
        <v>40</v>
      </c>
      <c r="E128" s="6"/>
      <c r="F128" s="9">
        <v>1</v>
      </c>
      <c r="G128" s="8">
        <v>58500</v>
      </c>
    </row>
    <row r="129" spans="2:7" x14ac:dyDescent="0.2">
      <c r="B129" s="4">
        <f t="shared" si="7"/>
        <v>6</v>
      </c>
      <c r="C129" s="5" t="s">
        <v>14</v>
      </c>
      <c r="D129" s="6"/>
      <c r="E129" s="6"/>
      <c r="F129" s="9"/>
      <c r="G129" s="8">
        <v>66443</v>
      </c>
    </row>
    <row r="130" spans="2:7" x14ac:dyDescent="0.2">
      <c r="B130" s="4">
        <f t="shared" si="7"/>
        <v>7</v>
      </c>
      <c r="C130" s="5" t="s">
        <v>15</v>
      </c>
      <c r="D130" s="6"/>
      <c r="E130" s="6"/>
      <c r="F130" s="9"/>
      <c r="G130" s="8">
        <v>123500</v>
      </c>
    </row>
    <row r="131" spans="2:7" x14ac:dyDescent="0.2">
      <c r="B131" s="4">
        <f t="shared" si="7"/>
        <v>8</v>
      </c>
      <c r="C131" s="5" t="s">
        <v>16</v>
      </c>
      <c r="D131" s="6"/>
      <c r="E131" s="6"/>
      <c r="F131" s="9"/>
      <c r="G131" s="8">
        <v>455000</v>
      </c>
    </row>
    <row r="132" spans="2:7" x14ac:dyDescent="0.2">
      <c r="B132" s="4">
        <f t="shared" si="7"/>
        <v>9</v>
      </c>
      <c r="C132" s="5" t="s">
        <v>17</v>
      </c>
      <c r="D132" s="6"/>
      <c r="E132" s="6"/>
      <c r="F132" s="9"/>
      <c r="G132" s="8">
        <v>59150</v>
      </c>
    </row>
    <row r="133" spans="2:7" x14ac:dyDescent="0.2">
      <c r="B133" s="4">
        <f t="shared" si="7"/>
        <v>10</v>
      </c>
      <c r="C133" s="5" t="s">
        <v>18</v>
      </c>
      <c r="D133" s="6"/>
      <c r="E133" s="6"/>
      <c r="F133" s="9"/>
      <c r="G133" s="15">
        <v>300105</v>
      </c>
    </row>
    <row r="134" spans="2:7" x14ac:dyDescent="0.2">
      <c r="B134" s="4">
        <f t="shared" si="7"/>
        <v>11</v>
      </c>
      <c r="C134" s="5" t="s">
        <v>19</v>
      </c>
      <c r="D134" s="6"/>
      <c r="E134" s="6"/>
      <c r="F134" s="9"/>
      <c r="G134" s="8">
        <v>24500</v>
      </c>
    </row>
    <row r="135" spans="2:7" x14ac:dyDescent="0.2">
      <c r="B135" s="4">
        <f t="shared" si="7"/>
        <v>12</v>
      </c>
      <c r="C135" s="5" t="s">
        <v>20</v>
      </c>
      <c r="D135" s="6"/>
      <c r="E135" s="6"/>
      <c r="F135" s="9"/>
      <c r="G135" s="8">
        <v>126000</v>
      </c>
    </row>
    <row r="136" spans="2:7" x14ac:dyDescent="0.2">
      <c r="B136" s="4">
        <f t="shared" si="7"/>
        <v>13</v>
      </c>
      <c r="C136" s="5" t="s">
        <v>21</v>
      </c>
      <c r="D136" s="6"/>
      <c r="E136" s="6"/>
      <c r="F136" s="9"/>
      <c r="G136" s="8">
        <f>350122.5-2</f>
        <v>350120.5</v>
      </c>
    </row>
    <row r="137" spans="2:7" x14ac:dyDescent="0.2">
      <c r="B137" s="4">
        <f t="shared" si="7"/>
        <v>14</v>
      </c>
      <c r="C137" s="5" t="s">
        <v>22</v>
      </c>
      <c r="D137" s="6"/>
      <c r="E137" s="6"/>
      <c r="F137" s="9"/>
      <c r="G137" s="8">
        <v>100035</v>
      </c>
    </row>
    <row r="138" spans="2:7" x14ac:dyDescent="0.2">
      <c r="B138" s="4">
        <f t="shared" si="7"/>
        <v>15</v>
      </c>
      <c r="C138" s="5" t="s">
        <v>23</v>
      </c>
      <c r="D138" s="6"/>
      <c r="E138" s="6"/>
      <c r="F138" s="9"/>
      <c r="G138" s="8">
        <v>100035</v>
      </c>
    </row>
    <row r="139" spans="2:7" x14ac:dyDescent="0.2">
      <c r="B139" s="4">
        <f t="shared" si="7"/>
        <v>16</v>
      </c>
      <c r="C139" s="5" t="s">
        <v>69</v>
      </c>
      <c r="D139" s="6"/>
      <c r="E139" s="6"/>
      <c r="F139" s="9"/>
      <c r="G139" s="8">
        <v>0</v>
      </c>
    </row>
    <row r="140" spans="2:7" x14ac:dyDescent="0.2">
      <c r="B140" s="4">
        <f t="shared" si="7"/>
        <v>17</v>
      </c>
      <c r="C140" s="5" t="s">
        <v>34</v>
      </c>
      <c r="D140" s="6"/>
      <c r="E140" s="6"/>
      <c r="F140" s="9"/>
      <c r="G140" s="8">
        <v>0</v>
      </c>
    </row>
    <row r="141" spans="2:7" ht="15" x14ac:dyDescent="0.25">
      <c r="B141" s="11"/>
      <c r="C141" s="2"/>
      <c r="D141" s="2"/>
      <c r="E141" s="2"/>
      <c r="F141" s="3"/>
      <c r="G141" s="12">
        <f>SUM(G124:G140)</f>
        <v>6983834.75</v>
      </c>
    </row>
    <row r="143" spans="2:7" ht="18.75" x14ac:dyDescent="0.3">
      <c r="B143" s="30" t="s">
        <v>41</v>
      </c>
      <c r="C143" s="30"/>
      <c r="D143" s="30"/>
      <c r="E143" s="30"/>
      <c r="F143" s="30"/>
      <c r="G143" s="30"/>
    </row>
    <row r="144" spans="2:7" ht="15" x14ac:dyDescent="0.25">
      <c r="B144" s="2" t="s">
        <v>1</v>
      </c>
      <c r="C144" s="2" t="s">
        <v>2</v>
      </c>
      <c r="D144" s="2" t="s">
        <v>3</v>
      </c>
      <c r="E144" s="2" t="s">
        <v>4</v>
      </c>
      <c r="F144" s="3" t="s">
        <v>5</v>
      </c>
      <c r="G144" s="3" t="s">
        <v>6</v>
      </c>
    </row>
    <row r="145" spans="2:7" x14ac:dyDescent="0.2">
      <c r="B145" s="4">
        <v>1</v>
      </c>
      <c r="C145" s="5" t="s">
        <v>7</v>
      </c>
      <c r="D145" s="6" t="s">
        <v>70</v>
      </c>
      <c r="E145" s="6">
        <v>585</v>
      </c>
      <c r="F145" s="7">
        <v>427</v>
      </c>
      <c r="G145" s="8">
        <v>8180786.25</v>
      </c>
    </row>
    <row r="146" spans="2:7" x14ac:dyDescent="0.2">
      <c r="B146" s="4">
        <f t="shared" ref="B146:B161" si="8">B145+1</f>
        <v>2</v>
      </c>
      <c r="C146" s="5" t="s">
        <v>42</v>
      </c>
      <c r="D146" s="6" t="s">
        <v>36</v>
      </c>
      <c r="E146" s="6">
        <v>115</v>
      </c>
      <c r="F146" s="9">
        <v>2</v>
      </c>
      <c r="G146" s="8">
        <v>2526000</v>
      </c>
    </row>
    <row r="147" spans="2:7" x14ac:dyDescent="0.2">
      <c r="B147" s="4">
        <f t="shared" si="8"/>
        <v>3</v>
      </c>
      <c r="C147" s="5" t="s">
        <v>43</v>
      </c>
      <c r="D147" s="6"/>
      <c r="E147" s="6"/>
      <c r="F147" s="9">
        <f>F145/2</f>
        <v>213.5</v>
      </c>
      <c r="G147" s="8">
        <v>1409100</v>
      </c>
    </row>
    <row r="148" spans="2:7" x14ac:dyDescent="0.2">
      <c r="B148" s="4">
        <f t="shared" si="8"/>
        <v>4</v>
      </c>
      <c r="C148" s="5" t="s">
        <v>44</v>
      </c>
      <c r="D148" s="6"/>
      <c r="E148" s="6"/>
      <c r="F148" s="9">
        <v>1</v>
      </c>
      <c r="G148" s="8">
        <v>208000</v>
      </c>
    </row>
    <row r="149" spans="2:7" x14ac:dyDescent="0.2">
      <c r="B149" s="4">
        <f t="shared" si="8"/>
        <v>5</v>
      </c>
      <c r="C149" s="5" t="s">
        <v>45</v>
      </c>
      <c r="D149" s="6"/>
      <c r="E149" s="6"/>
      <c r="F149" s="9">
        <v>2</v>
      </c>
      <c r="G149" s="8">
        <v>234000</v>
      </c>
    </row>
    <row r="150" spans="2:7" x14ac:dyDescent="0.2">
      <c r="B150" s="4">
        <f t="shared" si="8"/>
        <v>6</v>
      </c>
      <c r="C150" s="5" t="s">
        <v>14</v>
      </c>
      <c r="D150" s="6"/>
      <c r="E150" s="6"/>
      <c r="F150" s="9"/>
      <c r="G150" s="8">
        <v>128115</v>
      </c>
    </row>
    <row r="151" spans="2:7" x14ac:dyDescent="0.2">
      <c r="B151" s="4">
        <f t="shared" si="8"/>
        <v>7</v>
      </c>
      <c r="C151" s="5" t="s">
        <v>46</v>
      </c>
      <c r="D151" s="6"/>
      <c r="E151" s="6"/>
      <c r="F151" s="9"/>
      <c r="G151" s="8">
        <v>391495</v>
      </c>
    </row>
    <row r="152" spans="2:7" x14ac:dyDescent="0.2">
      <c r="B152" s="4">
        <f t="shared" si="8"/>
        <v>8</v>
      </c>
      <c r="C152" s="5" t="s">
        <v>15</v>
      </c>
      <c r="D152" s="6"/>
      <c r="E152" s="6"/>
      <c r="F152" s="9"/>
      <c r="G152" s="8">
        <v>247000</v>
      </c>
    </row>
    <row r="153" spans="2:7" x14ac:dyDescent="0.2">
      <c r="B153" s="4">
        <f t="shared" si="8"/>
        <v>9</v>
      </c>
      <c r="C153" s="5" t="s">
        <v>16</v>
      </c>
      <c r="D153" s="6"/>
      <c r="E153" s="6"/>
      <c r="F153" s="9"/>
      <c r="G153" s="15">
        <v>1462500</v>
      </c>
    </row>
    <row r="154" spans="2:7" x14ac:dyDescent="0.2">
      <c r="B154" s="4">
        <f t="shared" si="8"/>
        <v>10</v>
      </c>
      <c r="C154" s="5" t="s">
        <v>17</v>
      </c>
      <c r="D154" s="6"/>
      <c r="E154" s="6"/>
      <c r="F154" s="9"/>
      <c r="G154" s="15">
        <v>136370</v>
      </c>
    </row>
    <row r="155" spans="2:7" x14ac:dyDescent="0.2">
      <c r="B155" s="4">
        <f t="shared" si="8"/>
        <v>11</v>
      </c>
      <c r="C155" s="5" t="s">
        <v>47</v>
      </c>
      <c r="D155" s="6"/>
      <c r="E155" s="6"/>
      <c r="F155" s="9"/>
      <c r="G155" s="8">
        <v>749385</v>
      </c>
    </row>
    <row r="156" spans="2:7" x14ac:dyDescent="0.2">
      <c r="B156" s="4">
        <f t="shared" si="8"/>
        <v>12</v>
      </c>
      <c r="C156" s="5" t="s">
        <v>19</v>
      </c>
      <c r="D156" s="6"/>
      <c r="E156" s="6"/>
      <c r="F156" s="9"/>
      <c r="G156" s="8">
        <v>49000</v>
      </c>
    </row>
    <row r="157" spans="2:7" x14ac:dyDescent="0.2">
      <c r="B157" s="4">
        <f t="shared" si="8"/>
        <v>13</v>
      </c>
      <c r="C157" s="5" t="s">
        <v>20</v>
      </c>
      <c r="D157" s="6"/>
      <c r="E157" s="6"/>
      <c r="F157" s="9"/>
      <c r="G157" s="8">
        <v>210000</v>
      </c>
    </row>
    <row r="158" spans="2:7" x14ac:dyDescent="0.2">
      <c r="B158" s="4">
        <f t="shared" si="8"/>
        <v>14</v>
      </c>
      <c r="C158" s="5" t="s">
        <v>21</v>
      </c>
      <c r="D158" s="6"/>
      <c r="E158" s="6"/>
      <c r="F158" s="9"/>
      <c r="G158" s="8">
        <f>874282.5-1</f>
        <v>874281.5</v>
      </c>
    </row>
    <row r="159" spans="2:7" x14ac:dyDescent="0.2">
      <c r="B159" s="4">
        <f t="shared" si="8"/>
        <v>15</v>
      </c>
      <c r="C159" s="5" t="s">
        <v>22</v>
      </c>
      <c r="D159" s="6"/>
      <c r="E159" s="6"/>
      <c r="F159" s="9"/>
      <c r="G159" s="8">
        <v>187346.25</v>
      </c>
    </row>
    <row r="160" spans="2:7" x14ac:dyDescent="0.2">
      <c r="B160" s="4">
        <f t="shared" si="8"/>
        <v>16</v>
      </c>
      <c r="C160" s="5" t="s">
        <v>23</v>
      </c>
      <c r="D160" s="6"/>
      <c r="E160" s="6"/>
      <c r="F160" s="9"/>
      <c r="G160" s="8">
        <v>187346.25</v>
      </c>
    </row>
    <row r="161" spans="2:9" x14ac:dyDescent="0.2">
      <c r="B161" s="4">
        <f t="shared" si="8"/>
        <v>17</v>
      </c>
      <c r="C161" s="5" t="s">
        <v>48</v>
      </c>
      <c r="D161" s="6"/>
      <c r="E161" s="6"/>
      <c r="F161" s="9"/>
      <c r="G161" s="8">
        <v>0</v>
      </c>
    </row>
    <row r="162" spans="2:9" x14ac:dyDescent="0.2">
      <c r="B162" s="4">
        <f>B161+1</f>
        <v>18</v>
      </c>
      <c r="C162" s="5" t="s">
        <v>49</v>
      </c>
      <c r="D162" s="6"/>
      <c r="E162" s="6"/>
      <c r="F162" s="9"/>
      <c r="G162" s="8">
        <v>0</v>
      </c>
    </row>
    <row r="163" spans="2:9" ht="15" x14ac:dyDescent="0.25">
      <c r="B163" s="11"/>
      <c r="C163" s="2"/>
      <c r="D163" s="2"/>
      <c r="E163" s="2"/>
      <c r="F163" s="3"/>
      <c r="G163" s="12">
        <f>SUM(G145:G162)</f>
        <v>17180725.25</v>
      </c>
    </row>
    <row r="165" spans="2:9" ht="18.75" x14ac:dyDescent="0.3">
      <c r="B165" s="30" t="s">
        <v>50</v>
      </c>
      <c r="C165" s="30"/>
      <c r="D165" s="30"/>
      <c r="E165" s="30"/>
      <c r="F165" s="30"/>
      <c r="G165" s="30"/>
    </row>
    <row r="166" spans="2:9" ht="15" x14ac:dyDescent="0.25">
      <c r="B166" s="2" t="s">
        <v>1</v>
      </c>
      <c r="C166" s="2" t="s">
        <v>2</v>
      </c>
      <c r="D166" s="2" t="s">
        <v>3</v>
      </c>
      <c r="E166" s="2" t="s">
        <v>4</v>
      </c>
      <c r="F166" s="3" t="s">
        <v>5</v>
      </c>
      <c r="G166" s="3" t="s">
        <v>6</v>
      </c>
      <c r="I166" s="19"/>
    </row>
    <row r="167" spans="2:9" x14ac:dyDescent="0.2">
      <c r="B167" s="4">
        <v>1</v>
      </c>
      <c r="C167" s="5" t="s">
        <v>7</v>
      </c>
      <c r="D167" s="6" t="s">
        <v>70</v>
      </c>
      <c r="E167" s="6">
        <v>585</v>
      </c>
      <c r="F167" s="7">
        <v>854</v>
      </c>
      <c r="G167" s="8">
        <v>16361572.5</v>
      </c>
      <c r="H167" s="21">
        <f>(G167/F167)*683</f>
        <v>13085426.25</v>
      </c>
      <c r="I167" s="19"/>
    </row>
    <row r="168" spans="2:9" x14ac:dyDescent="0.2">
      <c r="B168" s="4">
        <f t="shared" ref="B168:B184" si="9">B167+1</f>
        <v>2</v>
      </c>
      <c r="C168" s="5" t="s">
        <v>42</v>
      </c>
      <c r="D168" s="6" t="s">
        <v>36</v>
      </c>
      <c r="E168" s="6">
        <v>115</v>
      </c>
      <c r="F168" s="9">
        <v>4</v>
      </c>
      <c r="G168" s="8">
        <v>5052000</v>
      </c>
      <c r="H168" s="21">
        <f>(G168/F168)*3</f>
        <v>3789000</v>
      </c>
    </row>
    <row r="169" spans="2:9" x14ac:dyDescent="0.2">
      <c r="B169" s="4">
        <f t="shared" si="9"/>
        <v>3</v>
      </c>
      <c r="C169" s="5" t="s">
        <v>51</v>
      </c>
      <c r="D169" s="6"/>
      <c r="E169" s="6"/>
      <c r="F169" s="9">
        <f>F167/2</f>
        <v>427</v>
      </c>
      <c r="G169" s="8">
        <v>2818200</v>
      </c>
      <c r="H169" s="21">
        <f>(G169/F169)*342</f>
        <v>2257200</v>
      </c>
    </row>
    <row r="170" spans="2:9" x14ac:dyDescent="0.2">
      <c r="B170" s="4">
        <f t="shared" si="9"/>
        <v>4</v>
      </c>
      <c r="C170" s="5" t="s">
        <v>44</v>
      </c>
      <c r="D170" s="6"/>
      <c r="E170" s="6"/>
      <c r="F170" s="9">
        <v>1</v>
      </c>
      <c r="G170" s="8">
        <v>437500</v>
      </c>
      <c r="H170" s="21">
        <f>(G170/499590)*400000</f>
        <v>350287.23553313717</v>
      </c>
    </row>
    <row r="171" spans="2:9" x14ac:dyDescent="0.2">
      <c r="B171" s="4">
        <f t="shared" si="9"/>
        <v>5</v>
      </c>
      <c r="C171" s="5" t="s">
        <v>45</v>
      </c>
      <c r="D171" s="6"/>
      <c r="E171" s="6"/>
      <c r="F171" s="9">
        <v>3</v>
      </c>
      <c r="G171" s="8">
        <v>168750</v>
      </c>
      <c r="H171" s="21">
        <f>(G171/499590)*400000</f>
        <v>135110.79084849579</v>
      </c>
    </row>
    <row r="172" spans="2:9" x14ac:dyDescent="0.2">
      <c r="B172" s="4">
        <f t="shared" si="9"/>
        <v>6</v>
      </c>
      <c r="C172" s="5" t="s">
        <v>14</v>
      </c>
      <c r="D172" s="6"/>
      <c r="E172" s="6"/>
      <c r="F172" s="9"/>
      <c r="G172" s="8">
        <v>386062.5</v>
      </c>
      <c r="H172" s="21">
        <f t="shared" ref="H172:H177" si="10">(G172/499590)*400000</f>
        <v>309103.46484116977</v>
      </c>
    </row>
    <row r="173" spans="2:9" x14ac:dyDescent="0.2">
      <c r="B173" s="4">
        <f t="shared" si="9"/>
        <v>7</v>
      </c>
      <c r="C173" s="5" t="s">
        <v>46</v>
      </c>
      <c r="D173" s="6"/>
      <c r="E173" s="6"/>
      <c r="F173" s="9"/>
      <c r="G173" s="8">
        <v>709375</v>
      </c>
      <c r="H173" s="21">
        <f t="shared" si="10"/>
        <v>567965.73190015811</v>
      </c>
    </row>
    <row r="174" spans="2:9" x14ac:dyDescent="0.2">
      <c r="B174" s="4">
        <f t="shared" si="9"/>
        <v>8</v>
      </c>
      <c r="C174" s="5" t="s">
        <v>15</v>
      </c>
      <c r="D174" s="6"/>
      <c r="E174" s="6"/>
      <c r="F174" s="9"/>
      <c r="G174" s="15">
        <v>475000</v>
      </c>
      <c r="H174" s="21">
        <f t="shared" si="10"/>
        <v>380311.8557216918</v>
      </c>
    </row>
    <row r="175" spans="2:9" x14ac:dyDescent="0.2">
      <c r="B175" s="4">
        <f t="shared" si="9"/>
        <v>9</v>
      </c>
      <c r="C175" s="5" t="s">
        <v>16</v>
      </c>
      <c r="D175" s="6"/>
      <c r="E175" s="6"/>
      <c r="F175" s="9"/>
      <c r="G175" s="15">
        <v>3437500</v>
      </c>
      <c r="H175" s="21">
        <f t="shared" si="10"/>
        <v>2752256.8506175061</v>
      </c>
    </row>
    <row r="176" spans="2:9" x14ac:dyDescent="0.2">
      <c r="B176" s="4">
        <f t="shared" si="9"/>
        <v>10</v>
      </c>
      <c r="C176" s="5" t="s">
        <v>17</v>
      </c>
      <c r="D176" s="6"/>
      <c r="E176" s="6"/>
      <c r="F176" s="9"/>
      <c r="G176" s="15">
        <f>61812.5-3</f>
        <v>61809.5</v>
      </c>
      <c r="H176" s="21">
        <f t="shared" si="10"/>
        <v>49488.180307852439</v>
      </c>
    </row>
    <row r="177" spans="2:10" x14ac:dyDescent="0.2">
      <c r="B177" s="4">
        <f t="shared" si="9"/>
        <v>11</v>
      </c>
      <c r="C177" s="5" t="s">
        <v>47</v>
      </c>
      <c r="D177" s="6"/>
      <c r="E177" s="6"/>
      <c r="F177" s="9"/>
      <c r="G177" s="8">
        <v>1498770</v>
      </c>
      <c r="H177" s="21">
        <f t="shared" si="10"/>
        <v>1200000</v>
      </c>
    </row>
    <row r="178" spans="2:10" x14ac:dyDescent="0.2">
      <c r="B178" s="4">
        <f t="shared" si="9"/>
        <v>12</v>
      </c>
      <c r="C178" s="5" t="s">
        <v>19</v>
      </c>
      <c r="D178" s="6"/>
      <c r="E178" s="6"/>
      <c r="F178" s="9"/>
      <c r="G178" s="8">
        <v>175000</v>
      </c>
      <c r="H178" s="21">
        <f>G178</f>
        <v>175000</v>
      </c>
    </row>
    <row r="179" spans="2:10" x14ac:dyDescent="0.2">
      <c r="B179" s="4">
        <f t="shared" si="9"/>
        <v>13</v>
      </c>
      <c r="C179" s="5" t="s">
        <v>20</v>
      </c>
      <c r="D179" s="6"/>
      <c r="E179" s="6"/>
      <c r="F179" s="9"/>
      <c r="G179" s="8">
        <v>168000</v>
      </c>
      <c r="H179" s="21">
        <f>G179</f>
        <v>168000</v>
      </c>
    </row>
    <row r="180" spans="2:10" x14ac:dyDescent="0.2">
      <c r="B180" s="4">
        <f t="shared" si="9"/>
        <v>14</v>
      </c>
      <c r="C180" s="5" t="s">
        <v>21</v>
      </c>
      <c r="D180" s="6"/>
      <c r="E180" s="6"/>
      <c r="F180" s="9"/>
      <c r="G180" s="8">
        <v>1748565</v>
      </c>
      <c r="H180" s="21">
        <f t="shared" ref="H180:H182" si="11">(G180/499590)*400000</f>
        <v>1400000</v>
      </c>
    </row>
    <row r="181" spans="2:10" x14ac:dyDescent="0.2">
      <c r="B181" s="4">
        <f t="shared" si="9"/>
        <v>15</v>
      </c>
      <c r="C181" s="5" t="s">
        <v>22</v>
      </c>
      <c r="D181" s="6"/>
      <c r="E181" s="6"/>
      <c r="F181" s="9"/>
      <c r="G181" s="8">
        <v>249795</v>
      </c>
      <c r="H181" s="21">
        <f t="shared" si="11"/>
        <v>200000</v>
      </c>
    </row>
    <row r="182" spans="2:10" x14ac:dyDescent="0.2">
      <c r="B182" s="4">
        <f t="shared" si="9"/>
        <v>16</v>
      </c>
      <c r="C182" s="5" t="s">
        <v>23</v>
      </c>
      <c r="D182" s="6"/>
      <c r="E182" s="6"/>
      <c r="F182" s="9"/>
      <c r="G182" s="8">
        <v>249795</v>
      </c>
      <c r="H182" s="21">
        <f t="shared" si="11"/>
        <v>200000</v>
      </c>
    </row>
    <row r="183" spans="2:10" x14ac:dyDescent="0.2">
      <c r="B183" s="4">
        <f t="shared" si="9"/>
        <v>17</v>
      </c>
      <c r="C183" s="5" t="s">
        <v>48</v>
      </c>
      <c r="D183" s="6"/>
      <c r="E183" s="6"/>
      <c r="F183" s="9"/>
      <c r="G183" s="8">
        <v>0</v>
      </c>
      <c r="J183" s="19"/>
    </row>
    <row r="184" spans="2:10" x14ac:dyDescent="0.2">
      <c r="B184" s="4">
        <f t="shared" si="9"/>
        <v>18</v>
      </c>
      <c r="C184" s="5" t="s">
        <v>49</v>
      </c>
      <c r="D184" s="6"/>
      <c r="E184" s="6"/>
      <c r="F184" s="9"/>
      <c r="G184" s="8">
        <v>0</v>
      </c>
    </row>
    <row r="185" spans="2:10" ht="15" x14ac:dyDescent="0.25">
      <c r="B185" s="11"/>
      <c r="C185" s="2"/>
      <c r="D185" s="2"/>
      <c r="E185" s="2"/>
      <c r="F185" s="3"/>
      <c r="G185" s="12">
        <f>SUM(G167:G184)</f>
        <v>33997694.5</v>
      </c>
      <c r="I185" s="20"/>
      <c r="J185" s="19"/>
    </row>
    <row r="186" spans="2:10" x14ac:dyDescent="0.2">
      <c r="I186" s="20"/>
      <c r="J186" s="20"/>
    </row>
    <row r="187" spans="2:10" ht="18.75" x14ac:dyDescent="0.3">
      <c r="B187" s="30" t="s">
        <v>52</v>
      </c>
      <c r="C187" s="30"/>
      <c r="D187" s="30"/>
      <c r="E187" s="30"/>
      <c r="F187" s="30"/>
      <c r="G187" s="30"/>
    </row>
    <row r="188" spans="2:10" ht="15" x14ac:dyDescent="0.25">
      <c r="B188" s="2" t="s">
        <v>1</v>
      </c>
      <c r="C188" s="2" t="s">
        <v>2</v>
      </c>
      <c r="D188" s="2" t="s">
        <v>3</v>
      </c>
      <c r="E188" s="2" t="s">
        <v>4</v>
      </c>
      <c r="F188" s="16" t="s">
        <v>5</v>
      </c>
      <c r="G188" s="3" t="s">
        <v>53</v>
      </c>
    </row>
    <row r="189" spans="2:10" x14ac:dyDescent="0.2">
      <c r="B189" s="6">
        <v>1</v>
      </c>
      <c r="C189" s="5" t="s">
        <v>54</v>
      </c>
      <c r="D189" s="6" t="s">
        <v>70</v>
      </c>
      <c r="E189" s="6">
        <v>585</v>
      </c>
      <c r="F189" s="17">
        <v>1709</v>
      </c>
      <c r="G189" s="9">
        <v>32742303.75</v>
      </c>
    </row>
    <row r="190" spans="2:10" x14ac:dyDescent="0.2">
      <c r="B190" s="6">
        <f t="shared" ref="B190:B207" si="12">B189+1</f>
        <v>2</v>
      </c>
      <c r="C190" s="5" t="s">
        <v>42</v>
      </c>
      <c r="D190" s="6" t="s">
        <v>55</v>
      </c>
      <c r="E190" s="6" t="s">
        <v>56</v>
      </c>
      <c r="F190" s="17">
        <v>7</v>
      </c>
      <c r="G190" s="9">
        <v>8841000</v>
      </c>
    </row>
    <row r="191" spans="2:10" x14ac:dyDescent="0.2">
      <c r="B191" s="6">
        <f t="shared" si="12"/>
        <v>3</v>
      </c>
      <c r="C191" s="5" t="s">
        <v>42</v>
      </c>
      <c r="D191" s="6" t="s">
        <v>55</v>
      </c>
      <c r="E191" s="6" t="s">
        <v>57</v>
      </c>
      <c r="F191" s="17">
        <v>1</v>
      </c>
      <c r="G191" s="9">
        <v>658000</v>
      </c>
    </row>
    <row r="192" spans="2:10" x14ac:dyDescent="0.2">
      <c r="B192" s="6">
        <f t="shared" si="12"/>
        <v>4</v>
      </c>
      <c r="C192" s="5" t="s">
        <v>58</v>
      </c>
      <c r="D192" s="6"/>
      <c r="E192" s="18"/>
      <c r="F192" s="17">
        <f>F189/2</f>
        <v>854.5</v>
      </c>
      <c r="G192" s="9">
        <v>5639700</v>
      </c>
    </row>
    <row r="193" spans="2:7" x14ac:dyDescent="0.2">
      <c r="B193" s="6">
        <f t="shared" si="12"/>
        <v>5</v>
      </c>
      <c r="C193" s="5" t="s">
        <v>59</v>
      </c>
      <c r="D193" s="6"/>
      <c r="E193" s="6"/>
      <c r="F193" s="17">
        <v>1</v>
      </c>
      <c r="G193" s="9">
        <v>2062500</v>
      </c>
    </row>
    <row r="194" spans="2:7" x14ac:dyDescent="0.2">
      <c r="B194" s="6">
        <f t="shared" si="12"/>
        <v>6</v>
      </c>
      <c r="C194" s="5" t="s">
        <v>60</v>
      </c>
      <c r="D194" s="6"/>
      <c r="E194" s="6"/>
      <c r="F194" s="17">
        <v>8</v>
      </c>
      <c r="G194" s="9">
        <v>400000</v>
      </c>
    </row>
    <row r="195" spans="2:7" x14ac:dyDescent="0.2">
      <c r="B195" s="6">
        <f t="shared" si="12"/>
        <v>7</v>
      </c>
      <c r="C195" s="5" t="s">
        <v>61</v>
      </c>
      <c r="D195" s="6"/>
      <c r="E195" s="6"/>
      <c r="F195" s="17"/>
      <c r="G195" s="9">
        <v>856975</v>
      </c>
    </row>
    <row r="196" spans="2:7" x14ac:dyDescent="0.2">
      <c r="B196" s="6">
        <f t="shared" si="12"/>
        <v>8</v>
      </c>
      <c r="C196" s="5" t="s">
        <v>62</v>
      </c>
      <c r="D196" s="6"/>
      <c r="E196" s="6"/>
      <c r="F196" s="17"/>
      <c r="G196" s="9">
        <v>1187500</v>
      </c>
    </row>
    <row r="197" spans="2:7" x14ac:dyDescent="0.2">
      <c r="B197" s="6">
        <f t="shared" si="12"/>
        <v>9</v>
      </c>
      <c r="C197" s="5" t="s">
        <v>63</v>
      </c>
      <c r="D197" s="6"/>
      <c r="E197" s="6"/>
      <c r="F197" s="17"/>
      <c r="G197" s="9">
        <v>1068750</v>
      </c>
    </row>
    <row r="198" spans="2:7" x14ac:dyDescent="0.2">
      <c r="B198" s="6">
        <f t="shared" si="12"/>
        <v>10</v>
      </c>
      <c r="C198" s="5" t="s">
        <v>64</v>
      </c>
      <c r="D198" s="6"/>
      <c r="E198" s="6"/>
      <c r="F198" s="17"/>
      <c r="G198" s="9">
        <v>6875000</v>
      </c>
    </row>
    <row r="199" spans="2:7" x14ac:dyDescent="0.2">
      <c r="B199" s="6">
        <f t="shared" si="12"/>
        <v>11</v>
      </c>
      <c r="C199" s="5" t="s">
        <v>65</v>
      </c>
      <c r="D199" s="6"/>
      <c r="E199" s="6"/>
      <c r="F199" s="17"/>
      <c r="G199" s="9">
        <v>134500</v>
      </c>
    </row>
    <row r="200" spans="2:7" x14ac:dyDescent="0.2">
      <c r="B200" s="6">
        <f t="shared" si="12"/>
        <v>12</v>
      </c>
      <c r="C200" s="5" t="s">
        <v>66</v>
      </c>
      <c r="D200" s="6"/>
      <c r="E200" s="6"/>
      <c r="F200" s="17"/>
      <c r="G200" s="9">
        <v>2999295</v>
      </c>
    </row>
    <row r="201" spans="2:7" x14ac:dyDescent="0.2">
      <c r="B201" s="6">
        <f t="shared" si="12"/>
        <v>13</v>
      </c>
      <c r="C201" s="5" t="s">
        <v>19</v>
      </c>
      <c r="D201" s="6"/>
      <c r="E201" s="6"/>
      <c r="F201" s="17"/>
      <c r="G201" s="9">
        <v>175000</v>
      </c>
    </row>
    <row r="202" spans="2:7" x14ac:dyDescent="0.2">
      <c r="B202" s="6">
        <f t="shared" si="12"/>
        <v>14</v>
      </c>
      <c r="C202" s="5" t="s">
        <v>67</v>
      </c>
      <c r="D202" s="6"/>
      <c r="E202" s="6"/>
      <c r="F202" s="17"/>
      <c r="G202" s="9">
        <v>210000</v>
      </c>
    </row>
    <row r="203" spans="2:7" x14ac:dyDescent="0.2">
      <c r="B203" s="6">
        <f t="shared" si="12"/>
        <v>15</v>
      </c>
      <c r="C203" s="5" t="s">
        <v>68</v>
      </c>
      <c r="D203" s="6"/>
      <c r="E203" s="6"/>
      <c r="F203" s="17"/>
      <c r="G203" s="9">
        <v>3499177.5</v>
      </c>
    </row>
    <row r="204" spans="2:7" x14ac:dyDescent="0.2">
      <c r="B204" s="6">
        <f t="shared" si="12"/>
        <v>16</v>
      </c>
      <c r="C204" s="5" t="s">
        <v>22</v>
      </c>
      <c r="D204" s="6"/>
      <c r="E204" s="6"/>
      <c r="F204" s="17"/>
      <c r="G204" s="9">
        <v>349917.75</v>
      </c>
    </row>
    <row r="205" spans="2:7" x14ac:dyDescent="0.2">
      <c r="B205" s="6">
        <f t="shared" si="12"/>
        <v>17</v>
      </c>
      <c r="C205" s="5" t="s">
        <v>23</v>
      </c>
      <c r="D205" s="6"/>
      <c r="E205" s="6"/>
      <c r="F205" s="17"/>
      <c r="G205" s="9">
        <f>349917.75-2</f>
        <v>349915.75</v>
      </c>
    </row>
    <row r="206" spans="2:7" x14ac:dyDescent="0.2">
      <c r="B206" s="6">
        <f t="shared" si="12"/>
        <v>18</v>
      </c>
      <c r="C206" s="5" t="s">
        <v>48</v>
      </c>
      <c r="D206" s="6"/>
      <c r="E206" s="6"/>
      <c r="F206" s="17"/>
      <c r="G206" s="9">
        <v>0</v>
      </c>
    </row>
    <row r="207" spans="2:7" x14ac:dyDescent="0.2">
      <c r="B207" s="6">
        <f t="shared" si="12"/>
        <v>19</v>
      </c>
      <c r="C207" s="5" t="s">
        <v>49</v>
      </c>
      <c r="D207" s="6"/>
      <c r="E207" s="6"/>
      <c r="F207" s="17"/>
      <c r="G207" s="9">
        <v>0</v>
      </c>
    </row>
    <row r="208" spans="2:7" ht="15" x14ac:dyDescent="0.25">
      <c r="B208" s="11"/>
      <c r="C208" s="2"/>
      <c r="D208" s="2"/>
      <c r="E208" s="2"/>
      <c r="F208" s="16"/>
      <c r="G208" s="16">
        <f>SUM(G189:G207)</f>
        <v>68049534.75</v>
      </c>
    </row>
  </sheetData>
  <mergeCells count="10">
    <mergeCell ref="B122:G122"/>
    <mergeCell ref="B143:G143"/>
    <mergeCell ref="B165:G165"/>
    <mergeCell ref="B187:G187"/>
    <mergeCell ref="B2:G2"/>
    <mergeCell ref="B22:G22"/>
    <mergeCell ref="B42:G42"/>
    <mergeCell ref="B62:G62"/>
    <mergeCell ref="B82:G82"/>
    <mergeCell ref="B102:G1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Nadeem Bhatti</dc:creator>
  <cp:lastModifiedBy>Multi Tech Services</cp:lastModifiedBy>
  <dcterms:created xsi:type="dcterms:W3CDTF">2026-01-07T05:02:20Z</dcterms:created>
  <dcterms:modified xsi:type="dcterms:W3CDTF">2026-04-24T08:14:22Z</dcterms:modified>
</cp:coreProperties>
</file>